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e82608acf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71bfff5928441c4"/>
    <x:sheet xmlns:r="http://schemas.openxmlformats.org/officeDocument/2006/relationships" name="Publication Snapshots" sheetId="2" r:id="R7b42458f459c4cdf"/>
    <x:sheet xmlns:r="http://schemas.openxmlformats.org/officeDocument/2006/relationships" name="Coverage" sheetId="3" r:id="R4b50c5dd28fe48e2"/>
    <x:sheet xmlns:r="http://schemas.openxmlformats.org/officeDocument/2006/relationships" name="Missing Inputs" sheetId="4" r:id="Rbd335cbfce1d491e"/>
    <x:sheet xmlns:r="http://schemas.openxmlformats.org/officeDocument/2006/relationships" name="Protocol" sheetId="5" r:id="R4e141579b7c7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.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526575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0F766E"/>
      </x:patternFill>
    </x:fill>
    <x:fill>
      <x:patternFill patternType="solid">
        <x:fgColor rgb="FFF7F9FB"/>
      </x:patternFill>
    </x:fill>
  </x:fills>
  <x:borders count="10">
    <x:border/>
    <x:border>
      <x:left style="thin">
        <x:color rgb="FFC8D3DC"/>
      </x:left>
      <x:top style="thin">
        <x:color rgb="FFC8D3DC"/>
      </x:top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</x:border>
    <x:border>
      <x:right style="thin">
        <x:color rgb="FFC8D3DC"/>
      </x:right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  <x:border>
      <x:top style="thin">
        <x:color rgb="FFC8D3DC"/>
      </x:top>
    </x:border>
    <x:border>
      <x:bottom style="thin">
        <x:color rgb="FFC8D3DC"/>
      </x:bottom>
    </x:border>
    <x:border>
      <x:top style="thin">
        <x:color rgb="FFC8D3DC"/>
      </x:top>
      <x:bottom style="thin">
        <x:color rgb="FFC8D3DC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cba5db29f4320" /><Relationship Type="http://schemas.openxmlformats.org/officeDocument/2006/relationships/theme" Target="/xl/theme/theme1.xml" Id="R2ccae95a408340b4" /><Relationship Type="http://schemas.microsoft.com/office/2022/11/relationships/FeaturePropertyBag" Target="/xl/featurePropertyBag/featurePropertyBag.xml" Id="R3a3c8d1a141a4332" /><Relationship Type="http://schemas.openxmlformats.org/officeDocument/2006/relationships/sharedStrings" Target="/xl/sharedStrings.xml" Id="R7ac66c89155844eb" /><Relationship Type="http://schemas.openxmlformats.org/officeDocument/2006/relationships/worksheet" Target="/xl/worksheets/sheet1.xml" Id="R471bfff5928441c4" /><Relationship Type="http://schemas.openxmlformats.org/officeDocument/2006/relationships/worksheet" Target="/xl/worksheets/sheet2.xml" Id="R7b42458f459c4cdf" /><Relationship Type="http://schemas.openxmlformats.org/officeDocument/2006/relationships/worksheet" Target="/xl/worksheets/sheet3.xml" Id="R4b50c5dd28fe48e2" /><Relationship Type="http://schemas.openxmlformats.org/officeDocument/2006/relationships/worksheet" Target="/xl/worksheets/sheet4.xml" Id="Rbd335cbfce1d491e" /><Relationship Type="http://schemas.openxmlformats.org/officeDocument/2006/relationships/worksheet" Target="/xl/worksheets/sheet5.xml" Id="R4e141579b7c747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ublicationSnapshotsTable" displayName="PublicationSnapshotsTable" ref="A1:V81" headerRowCount="1" totalsRowCount="0" totalsRowShown="0">
  <x:tableColumns count="22">
    <x:tableColumn id="1" name="include_mode"/>
    <x:tableColumn id="2" name="cohort"/>
    <x:tableColumn id="3" name="organism"/>
    <x:tableColumn id="4" name="year"/>
    <x:tableColumn id="5" name="snapshot_id"/>
    <x:tableColumn id="6" name="phenotype_file"/>
    <x:tableColumn id="7" name="viability_file"/>
    <x:tableColumn id="8" name="gaf_file"/>
    <x:tableColumn id="9" name="go_obo_file"/>
    <x:tableColumn id="10" name="phenotype_ontology_file"/>
    <x:tableColumn id="11" name="phenotype_release"/>
    <x:tableColumn id="12" name="go_annotation_release"/>
    <x:tableColumn id="13" name="go_ontology_release"/>
    <x:tableColumn id="14" name="phenotype_ontology_release"/>
    <x:tableColumn id="15" name="label_source"/>
    <x:tableColumn id="16" name="nonlethal_policy"/>
    <x:tableColumn id="17" name="mixed_label_policy"/>
    <x:tableColumn id="18" name="ambiguous_label_policy"/>
    <x:tableColumn id="19" name="retrieval_date"/>
    <x:tableColumn id="20" name="notes"/>
    <x:tableColumn id="21" name="input_status"/>
    <x:tableColumn id="22" name="missing_path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F6" headerRowCount="1" totalsRowCount="0" totalsRowShown="0">
  <x:tableColumns count="6">
    <x:tableColumn id="1" name="Organism"/>
    <x:tableColumn id="2" name="Required primary"/>
    <x:tableColumn id="3" name="Annotation anchors"/>
    <x:tableColumn id="4" name="Anchors available"/>
    <x:tableColumn id="5" name="Anchors missing"/>
    <x:tableColumn id="6" name="Primary ye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InputsTable" displayName="MissingInputsTable" ref="A1:H1" headerRowCount="1" totalsRowCount="0" totalsRowShown="0">
  <x:tableColumns count="8">
    <x:tableColumn id="1" name="path"/>
    <x:tableColumn id="2" name="input_type"/>
    <x:tableColumn id="3" name="organisms"/>
    <x:tableColumn id="4" name="years"/>
    <x:tableColumn id="5" name="snapshots_affected"/>
    <x:tableColumn id="6" name="requirement"/>
    <x:tableColumn id="7" name="source_url"/>
    <x:tableColumn id="8" name="notes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4" name="ProtocolTable" displayName="ProtocolTable" ref="A1:C22" headerRowCount="1" totalsRowCount="0" totalsRowShown="0">
  <x:tableColumns count="3">
    <x:tableColumn id="1" name="Section"/>
    <x:tableColumn id="2" name="Item"/>
    <x:tableColumn id="3" name="Publication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76b6bd9f284b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2c34289a2c46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02e9fd6eb740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5463c47f8e43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24" hidden="0" customWidth="1"/>
    <x:col min="5" max="5" width="20" hidden="0" customWidth="1"/>
    <x:col min="6" max="6" width="23" hidden="0" customWidth="1"/>
    <x:col min="7" max="7" width="18" hidden="0" customWidth="1"/>
    <x:col min="8" max="8" width="24" hidden="0" customWidth="1"/>
  </x:cols>
  <x:sheetData>
    <x:row r="1" ht="30" customHeight="1">
      <x:c r="A1" s="4" t="str">
        <x:v>PhenGO Publication Data Collection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 ht="22" customHeight="1">
      <x:c r="A3" s="6" t="str">
        <x:v>Machine-readable inventory for release-matched and fixed-label version-sensitivity experiments</x:v>
      </x:c>
      <x:c r="B3" s="6"/>
      <x:c r="C3" s="6"/>
      <x:c r="D3" s="6"/>
      <x:c r="E3" s="6"/>
      <x:c r="F3" s="6"/>
      <x:c r="G3" s="6"/>
      <x:c r="H3" s="6"/>
    </x:row>
    <x:row r="4" ht="22" customHeight="1"/>
    <x:row r="5" ht="22" customHeight="1">
      <x:c r="A5" s="9" t="str">
        <x:v>Measure</x:v>
      </x:c>
      <x:c r="B5" s="10" t="str">
        <x:v>Value</x:v>
      </x:c>
      <x:c r="D5" s="8" t="str">
        <x:v>Publication interpretation</x:v>
      </x:c>
      <x:c r="E5" s="8"/>
      <x:c r="F5" s="8"/>
      <x:c r="G5" s="8"/>
      <x:c r="H5" s="8"/>
    </x:row>
    <x:row r="6" ht="28" customHeight="1">
      <x:c r="A6" s="11" t="str">
        <x:v>Ledger snapshots</x:v>
      </x:c>
      <x:c r="B6" s="15" t="n">
        <x:f>COUNTA('Publication Snapshots'!$E$2:$E$81)</x:f>
        <x:v>80</x:v>
      </x:c>
      <x:c r="D6" s="36" t="str">
        <x:v>Primary rows combine release-matched phenotype, GAF, and GO resources. Annotation anchors hold 2025 labels constant while GO resources vary. The default run requires every listed input; exploratory partial runs must explicitly allow missing anchors. No later resource is substituted.</x:v>
      </x:c>
      <x:c r="E6" s="37"/>
      <x:c r="F6" s="37"/>
      <x:c r="G6" s="37"/>
      <x:c r="H6" s="38"/>
    </x:row>
    <x:row r="7" ht="28" customHeight="1">
      <x:c r="A7" s="11" t="str">
        <x:v>Required primary snapshots</x:v>
      </x:c>
      <x:c r="B7" s="15" t="n">
        <x:f>COUNTIF('Publication Snapshots'!$A$2:$A$81,"required")</x:f>
        <x:v>49</x:v>
      </x:c>
      <x:c r="D7" s="39"/>
      <x:c r="E7" s="40"/>
      <x:c r="F7" s="40"/>
      <x:c r="G7" s="40"/>
      <x:c r="H7" s="41"/>
    </x:row>
    <x:row r="8" ht="28" customHeight="1">
      <x:c r="A8" s="11" t="str">
        <x:v>Annotation anchors</x:v>
      </x:c>
      <x:c r="B8" s="15" t="n">
        <x:f>COUNTIF('Publication Snapshots'!$A$2:$A$81,"optional")</x:f>
        <x:v>31</x:v>
      </x:c>
      <x:c r="D8" s="39"/>
      <x:c r="E8" s="40"/>
      <x:c r="F8" s="40"/>
      <x:c r="G8" s="40"/>
      <x:c r="H8" s="41"/>
    </x:row>
    <x:row r="9" ht="28" customHeight="1">
      <x:c r="A9" s="13" t="str">
        <x:v>Unique missing input files</x:v>
      </x:c>
      <x:c r="B9" s="16" t="n">
        <x:f>COUNTA('Missing Inputs'!$A$2:$A$100)</x:f>
        <x:v>0</x:v>
      </x:c>
      <x:c r="D9" s="39"/>
      <x:c r="E9" s="40"/>
      <x:c r="F9" s="40"/>
      <x:c r="G9" s="40"/>
      <x:c r="H9" s="41"/>
    </x:row>
    <x:row r="10" ht="28" customHeight="1">
      <x:c r="D10" s="42"/>
      <x:c r="E10" s="43"/>
      <x:c r="F10" s="43"/>
      <x:c r="G10" s="43"/>
      <x:c r="H10" s="44"/>
    </x:row>
    <x:row r="11" ht="22" customHeight="1"/>
    <x:row r="12" ht="22" customHeight="1">
      <x:c r="A12" s="45" t="str">
        <x:v>Default analysis contract</x:v>
      </x:c>
      <x:c r="B12" s="45"/>
      <x:c r="C12" s="45"/>
      <x:c r="D12" s="45"/>
      <x:c r="E12" s="45"/>
      <x:c r="F12" s="45"/>
      <x:c r="G12" s="45"/>
      <x:c r="H12" s="45"/>
    </x:row>
    <x:row r="13" ht="22" customHeight="1">
      <x:c r="A13" s="55" t="str">
        <x:v>GO relations</x:v>
      </x:c>
      <x:c r="B13" s="51" t="str">
        <x:v>is_a + part_of</x:v>
      </x:c>
      <x:c r="C13" s="55" t="str">
        <x:v>Primary models</x:v>
      </x:c>
      <x:c r="D13" s="51" t="str">
        <x:v>DT, RF, GB, LR, SVM, MLP</x:v>
      </x:c>
      <x:c r="E13" s="55" t="str">
        <x:v>Positive class</x:v>
      </x:c>
      <x:c r="F13" s="51" t="str">
        <x:v>lethal = 1</x:v>
      </x:c>
      <x:c r="G13" s="55" t="str">
        <x:v>CV</x:v>
      </x:c>
      <x:c r="H13" s="51" t="str">
        <x:v>5 x 5 repeated</x:v>
      </x:c>
    </x:row>
    <x:row r="14" ht="22" customHeight="1">
      <x:c r="A14" s="56" t="str">
        <x:v>Primary panel</x:v>
      </x:c>
      <x:c r="B14" s="52" t="str">
        <x:v>matched_both</x:v>
      </x:c>
      <x:c r="C14" s="56" t="str">
        <x:v>Practical panel</x:v>
      </x:c>
      <x:c r="D14" s="52" t="str">
        <x:v>full</x:v>
      </x:c>
      <x:c r="E14" s="56" t="str">
        <x:v>Calibration</x:v>
      </x:c>
      <x:c r="F14" s="52" t="str">
        <x:v>sigmoid, training-only</x:v>
      </x:c>
      <x:c r="G14" s="56" t="str">
        <x:v>Seed</x:v>
      </x:c>
      <x:c r="H14" s="52" t="n">
        <x:v>42</x:v>
      </x:c>
    </x:row>
    <x:row r="15" ht="22" customHeight="1">
      <x:c r="A15" s="56" t="str">
        <x:v>Primary track</x:v>
      </x:c>
      <x:c r="B15" s="52" t="str">
        <x:v>release-matched</x:v>
      </x:c>
      <x:c r="C15" s="56" t="str">
        <x:v>Fixed-label tracks</x:v>
      </x:c>
      <x:c r="D15" s="52" t="str">
        <x:v>2025 labels</x:v>
      </x:c>
      <x:c r="E15" s="56" t="str">
        <x:v>GO roots</x:v>
      </x:c>
      <x:c r="F15" s="52" t="str">
        <x:v>excluded</x:v>
      </x:c>
      <x:c r="G15" s="56" t="str">
        <x:v>Cross namespace</x:v>
      </x:c>
      <x:c r="H15" s="52" t="str">
        <x:v>forbidden</x:v>
      </x:c>
    </x:row>
    <x:row r="16" ht="22" customHeight="1">
      <x:c r="A16" s="56" t="str">
        <x:v>Feature floor</x:v>
      </x:c>
      <x:c r="B16" s="52" t="n">
        <x:v>2</x:v>
      </x:c>
      <x:c r="C16" s="56" t="str">
        <x:v>Feature ceiling</x:v>
      </x:c>
      <x:c r="D16" s="58" t="n">
        <x:v>0.99</x:v>
      </x:c>
      <x:c r="E16" s="56" t="str">
        <x:v>Threshold</x:v>
      </x:c>
      <x:c r="F16" s="59" t="n">
        <x:v>0.5</x:v>
      </x:c>
      <x:c r="G16" s="56" t="str">
        <x:v>Output root</x:v>
      </x:c>
      <x:c r="H16" s="52" t="str">
        <x:v>New_Outputs</x:v>
      </x:c>
    </x:row>
    <x:row r="17" ht="22" customHeight="1">
      <x:c r="A17" s="56" t="str">
        <x:v>NN backend</x:v>
      </x:c>
      <x:c r="B17" s="52" t="str">
        <x:v>sklearn MLP</x:v>
      </x:c>
      <x:c r="C17" s="56" t="str">
        <x:v>Hidden units</x:v>
      </x:c>
      <x:c r="D17" s="52" t="str">
        <x:v>128, 64</x:v>
      </x:c>
      <x:c r="E17" s="56" t="str">
        <x:v>Max iterations</x:v>
      </x:c>
      <x:c r="F17" s="52" t="n">
        <x:v>300</x:v>
      </x:c>
      <x:c r="G17" s="56" t="str">
        <x:v>Early stopping</x:v>
      </x:c>
      <x:c r="H17" s="53" t="b">
        <x:v>1</x:v>
      </x:c>
    </x:row>
    <x:row r="18" ht="22" customHeight="1">
      <x:c r="A18" s="57" t="str">
        <x:v>Ledger authority</x:v>
      </x:c>
      <x:c r="B18" s="54" t="str">
        <x:v>publication_snapshots.tsv</x:v>
      </x:c>
      <x:c r="C18" s="57" t="str">
        <x:v>Historical notebook</x:v>
      </x:c>
      <x:c r="D18" s="54" t="str">
        <x:v>File_Overview.ods</x:v>
      </x:c>
      <x:c r="E18" s="57" t="str">
        <x:v>Updated</x:v>
      </x:c>
      <x:c r="F18" s="54" t="str">
        <x:v>2026-07-22</x:v>
      </x:c>
      <x:c r="G18" s="57" t="str">
        <x:v>Environment</x:v>
      </x:c>
      <x:c r="H18" s="54" t="str">
        <x:v>ARM64 PhenGO</x:v>
      </x:c>
    </x:row>
  </x:sheetData>
  <x:mergeCells>
    <x:mergeCell ref="A1:H2"/>
    <x:mergeCell ref="A3:H3"/>
    <x:mergeCell ref="D5:H5"/>
    <x:mergeCell ref="D6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9" hidden="0" customWidth="1"/>
    <x:col min="5" max="5" width="25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14" hidden="0" customWidth="1"/>
    <x:col min="20" max="20" width="55" hidden="0" customWidth="1"/>
    <x:col min="21" max="21" width="22" hidden="0" customWidth="1"/>
    <x:col min="22" max="22" width="55" hidden="0" customWidth="1"/>
  </x:cols>
  <x:sheetData>
    <x:row r="1">
      <x:c r="A1" s="60" t="str">
        <x:v>include_mode</x:v>
      </x:c>
      <x:c r="B1" s="60" t="str">
        <x:v>cohort</x:v>
      </x:c>
      <x:c r="C1" s="60" t="str">
        <x:v>organism</x:v>
      </x:c>
      <x:c r="D1" s="60" t="str">
        <x:v>year</x:v>
      </x:c>
      <x:c r="E1" s="60" t="str">
        <x:v>snapshot_id</x:v>
      </x:c>
      <x:c r="F1" s="60" t="str">
        <x:v>phenotype_file</x:v>
      </x:c>
      <x:c r="G1" s="60" t="str">
        <x:v>viability_file</x:v>
      </x:c>
      <x:c r="H1" s="60" t="str">
        <x:v>gaf_file</x:v>
      </x:c>
      <x:c r="I1" s="60" t="str">
        <x:v>go_obo_file</x:v>
      </x:c>
      <x:c r="J1" s="60" t="str">
        <x:v>phenotype_ontology_file</x:v>
      </x:c>
      <x:c r="K1" s="60" t="str">
        <x:v>phenotype_release</x:v>
      </x:c>
      <x:c r="L1" s="60" t="str">
        <x:v>go_annotation_release</x:v>
      </x:c>
      <x:c r="M1" s="60" t="str">
        <x:v>go_ontology_release</x:v>
      </x:c>
      <x:c r="N1" s="60" t="str">
        <x:v>phenotype_ontology_release</x:v>
      </x:c>
      <x:c r="O1" s="60" t="str">
        <x:v>label_source</x:v>
      </x:c>
      <x:c r="P1" s="60" t="str">
        <x:v>nonlethal_policy</x:v>
      </x:c>
      <x:c r="Q1" s="60" t="str">
        <x:v>mixed_label_policy</x:v>
      </x:c>
      <x:c r="R1" s="60" t="str">
        <x:v>ambiguous_label_policy</x:v>
      </x:c>
      <x:c r="S1" s="60" t="str">
        <x:v>retrieval_date</x:v>
      </x:c>
      <x:c r="T1" s="60" t="str">
        <x:v>notes</x:v>
      </x:c>
      <x:c r="U1" s="60" t="str">
        <x:v>input_status</x:v>
      </x:c>
      <x:c r="V1" s="60" t="str">
        <x:v>missing_paths</x:v>
      </x:c>
    </x:row>
    <x:row r="2">
      <x:c r="A2" s="60" t="str">
        <x:v>required</x:v>
      </x:c>
      <x:c r="B2" s="60" t="str">
        <x:v>primary</x:v>
      </x:c>
      <x:c r="C2" s="60" t="str">
        <x:v>fish</x:v>
      </x:c>
      <x:c r="D2" s="60" t="n">
        <x:v>2015</x:v>
      </x:c>
      <x:c r="E2" s="60" t="str">
        <x:v>fish-2015</x:v>
      </x:c>
      <x:c r="F2" s="60" t="str">
        <x:v>data/fish/phenotype_data/zfin/2015/phenoGeneCleanData.txt.gz</x:v>
      </x:c>
      <x:c r="G2" s="60" t="str"/>
      <x:c r="H2" s="60" t="str">
        <x:v>data/fish/gene_association/go_archive/2015/zfin.gaf.gz</x:v>
      </x:c>
      <x:c r="I2" s="60" t="str">
        <x:v>data/go/2015/go-basic_2015-01-01.obo.gz</x:v>
      </x:c>
      <x:c r="J2" s="60" t="str"/>
      <x:c r="K2" s="60" t="str">
        <x:v>ZFIN phenotype 2015</x:v>
      </x:c>
      <x:c r="L2" s="60" t="str">
        <x:v>GO release 2015-01-01</x:v>
      </x:c>
      <x:c r="M2" s="60" t="str">
        <x:v>GO basic 2015-01-01</x:v>
      </x:c>
      <x:c r="N2" s="60" t="str"/>
      <x:c r="O2" s="60" t="str">
        <x:v>release_records</x:v>
      </x:c>
      <x:c r="P2" s="60" t="str">
        <x:v>observed_viable</x:v>
      </x:c>
      <x:c r="Q2" s="60" t="str">
        <x:v>lethal_wins</x:v>
      </x:c>
      <x:c r="R2" s="60" t="str">
        <x:v>exclude</x:v>
      </x:c>
      <x:c r="S2" s="60" t="str">
        <x:v>2026-07-22</x:v>
      </x:c>
      <x:c r="T2" s="60" t="str">
        <x:v>Operational viable class means observed nonlethal phenotype evidence.</x:v>
      </x:c>
      <x:c r="U2" s="60" t="str">
        <x:v>Available</x:v>
      </x:c>
      <x:c r="V2" s="60" t="str"/>
    </x:row>
    <x:row r="3">
      <x:c r="A3" s="60" t="str">
        <x:v>required</x:v>
      </x:c>
      <x:c r="B3" s="60" t="str">
        <x:v>primary</x:v>
      </x:c>
      <x:c r="C3" s="60" t="str">
        <x:v>fish</x:v>
      </x:c>
      <x:c r="D3" s="60" t="n">
        <x:v>2016</x:v>
      </x:c>
      <x:c r="E3" s="60" t="str">
        <x:v>fish-2016</x:v>
      </x:c>
      <x:c r="F3" s="60" t="str">
        <x:v>data/fish/phenotype_data/zfin/2016/phenoGeneCleanData_fish.txt.gz</x:v>
      </x:c>
      <x:c r="G3" s="60" t="str"/>
      <x:c r="H3" s="60" t="str">
        <x:v>data/fish/gene_association/go_archive/2016/zfin.gaf.gz</x:v>
      </x:c>
      <x:c r="I3" s="60" t="str">
        <x:v>data/go/2016/go-basic_2016-01-01.obo.gz</x:v>
      </x:c>
      <x:c r="J3" s="60" t="str"/>
      <x:c r="K3" s="60" t="str">
        <x:v>ZFIN phenotype 2016</x:v>
      </x:c>
      <x:c r="L3" s="60" t="str">
        <x:v>GO release 2016-01-01</x:v>
      </x:c>
      <x:c r="M3" s="60" t="str">
        <x:v>GO basic 2016-01-01</x:v>
      </x:c>
      <x:c r="N3" s="60" t="str"/>
      <x:c r="O3" s="60" t="str">
        <x:v>release_records</x:v>
      </x:c>
      <x:c r="P3" s="60" t="str">
        <x:v>observed_viable</x:v>
      </x:c>
      <x:c r="Q3" s="60" t="str">
        <x:v>lethal_wins</x:v>
      </x:c>
      <x:c r="R3" s="60" t="str">
        <x:v>exclude</x:v>
      </x:c>
      <x:c r="S3" s="60" t="str">
        <x:v>2026-07-22</x:v>
      </x:c>
      <x:c r="T3" s="60" t="str">
        <x:v>Operational viable class means observed nonlethal phenotype evidence.</x:v>
      </x:c>
      <x:c r="U3" s="60" t="str">
        <x:v>Available</x:v>
      </x:c>
      <x:c r="V3" s="60" t="str"/>
    </x:row>
    <x:row r="4">
      <x:c r="A4" s="60" t="str">
        <x:v>required</x:v>
      </x:c>
      <x:c r="B4" s="60" t="str">
        <x:v>primary</x:v>
      </x:c>
      <x:c r="C4" s="60" t="str">
        <x:v>fish</x:v>
      </x:c>
      <x:c r="D4" s="60" t="n">
        <x:v>2017</x:v>
      </x:c>
      <x:c r="E4" s="60" t="str">
        <x:v>fish-2017</x:v>
      </x:c>
      <x:c r="F4" s="60" t="str">
        <x:v>data/fish/phenotype_data/zfin/2017/phenoGeneCleanData_fish.txt.gz</x:v>
      </x:c>
      <x:c r="G4" s="60" t="str"/>
      <x:c r="H4" s="60" t="str">
        <x:v>data/fish/gene_association/go_archive/2017/zfin.gaf.gz</x:v>
      </x:c>
      <x:c r="I4" s="60" t="str">
        <x:v>data/go/2017/go-basic_2017-01-01.obo.gz</x:v>
      </x:c>
      <x:c r="J4" s="60" t="str"/>
      <x:c r="K4" s="60" t="str">
        <x:v>ZFIN phenotype 2017</x:v>
      </x:c>
      <x:c r="L4" s="60" t="str">
        <x:v>GO release 2017-01-01</x:v>
      </x:c>
      <x:c r="M4" s="60" t="str">
        <x:v>GO basic 2017-01-01</x:v>
      </x:c>
      <x:c r="N4" s="60" t="str"/>
      <x:c r="O4" s="60" t="str">
        <x:v>release_records</x:v>
      </x:c>
      <x:c r="P4" s="60" t="str">
        <x:v>observed_viable</x:v>
      </x:c>
      <x:c r="Q4" s="60" t="str">
        <x:v>lethal_wins</x:v>
      </x:c>
      <x:c r="R4" s="60" t="str">
        <x:v>exclude</x:v>
      </x:c>
      <x:c r="S4" s="60" t="str">
        <x:v>2026-07-22</x:v>
      </x:c>
      <x:c r="T4" s="60" t="str">
        <x:v>Operational viable class means observed nonlethal phenotype evidence.</x:v>
      </x:c>
      <x:c r="U4" s="60" t="str">
        <x:v>Available</x:v>
      </x:c>
      <x:c r="V4" s="60" t="str"/>
    </x:row>
    <x:row r="5">
      <x:c r="A5" s="60" t="str">
        <x:v>required</x:v>
      </x:c>
      <x:c r="B5" s="60" t="str">
        <x:v>primary</x:v>
      </x:c>
      <x:c r="C5" s="60" t="str">
        <x:v>fish</x:v>
      </x:c>
      <x:c r="D5" s="60" t="n">
        <x:v>2018</x:v>
      </x:c>
      <x:c r="E5" s="60" t="str">
        <x:v>fish-2018</x:v>
      </x:c>
      <x:c r="F5" s="60" t="str">
        <x:v>data/fish/phenotype_data/zfin/2018/phenoGeneCleanData_fish.txt.gz</x:v>
      </x:c>
      <x:c r="G5" s="60" t="str"/>
      <x:c r="H5" s="60" t="str">
        <x:v>data/fish/gene_association/go_archive/2018/zfin.gaf.gz</x:v>
      </x:c>
      <x:c r="I5" s="60" t="str">
        <x:v>data/go/2018/go-basic_2018-01-01.obo.gz</x:v>
      </x:c>
      <x:c r="J5" s="60" t="str"/>
      <x:c r="K5" s="60" t="str">
        <x:v>ZFIN phenotype 2018</x:v>
      </x:c>
      <x:c r="L5" s="60" t="str">
        <x:v>GO release 2018-01-01</x:v>
      </x:c>
      <x:c r="M5" s="60" t="str">
        <x:v>GO basic 2018-01-01</x:v>
      </x:c>
      <x:c r="N5" s="60" t="str"/>
      <x:c r="O5" s="60" t="str">
        <x:v>release_records</x:v>
      </x:c>
      <x:c r="P5" s="60" t="str">
        <x:v>observed_viable</x:v>
      </x:c>
      <x:c r="Q5" s="60" t="str">
        <x:v>lethal_wins</x:v>
      </x:c>
      <x:c r="R5" s="60" t="str">
        <x:v>exclude</x:v>
      </x:c>
      <x:c r="S5" s="60" t="str">
        <x:v>2026-07-22</x:v>
      </x:c>
      <x:c r="T5" s="60" t="str">
        <x:v>Operational viable class means observed nonlethal phenotype evidence.</x:v>
      </x:c>
      <x:c r="U5" s="60" t="str">
        <x:v>Available</x:v>
      </x:c>
      <x:c r="V5" s="60" t="str"/>
    </x:row>
    <x:row r="6">
      <x:c r="A6" s="60" t="str">
        <x:v>required</x:v>
      </x:c>
      <x:c r="B6" s="60" t="str">
        <x:v>primary</x:v>
      </x:c>
      <x:c r="C6" s="60" t="str">
        <x:v>fish</x:v>
      </x:c>
      <x:c r="D6" s="60" t="n">
        <x:v>2019</x:v>
      </x:c>
      <x:c r="E6" s="60" t="str">
        <x:v>fish-2019</x:v>
      </x:c>
      <x:c r="F6" s="60" t="str">
        <x:v>data/fish/phenotype_data/zfin/2019/phenoGeneCleanData_fish.txt.gz</x:v>
      </x:c>
      <x:c r="G6" s="60" t="str"/>
      <x:c r="H6" s="60" t="str">
        <x:v>data/fish/gene_association/go_archive/2019/zfin.gaf.gz</x:v>
      </x:c>
      <x:c r="I6" s="60" t="str">
        <x:v>data/go/2019/go-basic_2019-01-01.obo.gz</x:v>
      </x:c>
      <x:c r="J6" s="60" t="str"/>
      <x:c r="K6" s="60" t="str">
        <x:v>ZFIN phenotype 2019</x:v>
      </x:c>
      <x:c r="L6" s="60" t="str">
        <x:v>GO release 2019-01-01</x:v>
      </x:c>
      <x:c r="M6" s="60" t="str">
        <x:v>GO basic 2019-01-01</x:v>
      </x:c>
      <x:c r="N6" s="60" t="str"/>
      <x:c r="O6" s="60" t="str">
        <x:v>release_records</x:v>
      </x:c>
      <x:c r="P6" s="60" t="str">
        <x:v>observed_viable</x:v>
      </x:c>
      <x:c r="Q6" s="60" t="str">
        <x:v>lethal_wins</x:v>
      </x:c>
      <x:c r="R6" s="60" t="str">
        <x:v>exclude</x:v>
      </x:c>
      <x:c r="S6" s="60" t="str">
        <x:v>2026-07-22</x:v>
      </x:c>
      <x:c r="T6" s="60" t="str">
        <x:v>Operational viable class means observed nonlethal phenotype evidence.</x:v>
      </x:c>
      <x:c r="U6" s="60" t="str">
        <x:v>Available</x:v>
      </x:c>
      <x:c r="V6" s="60" t="str"/>
    </x:row>
    <x:row r="7">
      <x:c r="A7" s="60" t="str">
        <x:v>required</x:v>
      </x:c>
      <x:c r="B7" s="60" t="str">
        <x:v>primary</x:v>
      </x:c>
      <x:c r="C7" s="60" t="str">
        <x:v>fish</x:v>
      </x:c>
      <x:c r="D7" s="60" t="n">
        <x:v>2020</x:v>
      </x:c>
      <x:c r="E7" s="60" t="str">
        <x:v>fish-2020</x:v>
      </x:c>
      <x:c r="F7" s="60" t="str">
        <x:v>data/fish/phenotype_data/zfin/2020/phenoGeneCleanData_fish.txt.gz</x:v>
      </x:c>
      <x:c r="G7" s="60" t="str"/>
      <x:c r="H7" s="60" t="str">
        <x:v>data/fish/gene_association/go_archive/2020/zfin.gaf.gz</x:v>
      </x:c>
      <x:c r="I7" s="60" t="str">
        <x:v>data/go/2020/go-basic_2020-01-01.obo.gz</x:v>
      </x:c>
      <x:c r="J7" s="60" t="str"/>
      <x:c r="K7" s="60" t="str">
        <x:v>ZFIN phenotype 2020</x:v>
      </x:c>
      <x:c r="L7" s="60" t="str">
        <x:v>GO release 2020-01-01</x:v>
      </x:c>
      <x:c r="M7" s="60" t="str">
        <x:v>GO basic 2020-01-01</x:v>
      </x:c>
      <x:c r="N7" s="60" t="str"/>
      <x:c r="O7" s="60" t="str">
        <x:v>release_records</x:v>
      </x:c>
      <x:c r="P7" s="60" t="str">
        <x:v>observed_viable</x:v>
      </x:c>
      <x:c r="Q7" s="60" t="str">
        <x:v>lethal_wins</x:v>
      </x:c>
      <x:c r="R7" s="60" t="str">
        <x:v>exclude</x:v>
      </x:c>
      <x:c r="S7" s="60" t="str">
        <x:v>2026-07-22</x:v>
      </x:c>
      <x:c r="T7" s="60" t="str">
        <x:v>Operational viable class means observed nonlethal phenotype evidence.</x:v>
      </x:c>
      <x:c r="U7" s="60" t="str">
        <x:v>Available</x:v>
      </x:c>
      <x:c r="V7" s="60" t="str"/>
    </x:row>
    <x:row r="8">
      <x:c r="A8" s="60" t="str">
        <x:v>required</x:v>
      </x:c>
      <x:c r="B8" s="60" t="str">
        <x:v>primary</x:v>
      </x:c>
      <x:c r="C8" s="60" t="str">
        <x:v>fish</x:v>
      </x:c>
      <x:c r="D8" s="60" t="n">
        <x:v>2021</x:v>
      </x:c>
      <x:c r="E8" s="60" t="str">
        <x:v>fish-2021</x:v>
      </x:c>
      <x:c r="F8" s="60" t="str">
        <x:v>data/fish/phenotype_data/zfin/2021/phenoGeneCleanData_fish.txt.gz</x:v>
      </x:c>
      <x:c r="G8" s="60" t="str"/>
      <x:c r="H8" s="60" t="str">
        <x:v>data/fish/gene_association/go_archive/2021/zfin.gaf.gz</x:v>
      </x:c>
      <x:c r="I8" s="60" t="str">
        <x:v>data/go/2021/go-basic_2021-01-01.obo.gz</x:v>
      </x:c>
      <x:c r="J8" s="60" t="str"/>
      <x:c r="K8" s="60" t="str">
        <x:v>ZFIN phenotype 2021</x:v>
      </x:c>
      <x:c r="L8" s="60" t="str">
        <x:v>GO release 2021-01-01</x:v>
      </x:c>
      <x:c r="M8" s="60" t="str">
        <x:v>GO basic 2021-01-01</x:v>
      </x:c>
      <x:c r="N8" s="60" t="str"/>
      <x:c r="O8" s="60" t="str">
        <x:v>release_records</x:v>
      </x:c>
      <x:c r="P8" s="60" t="str">
        <x:v>observed_viable</x:v>
      </x:c>
      <x:c r="Q8" s="60" t="str">
        <x:v>lethal_wins</x:v>
      </x:c>
      <x:c r="R8" s="60" t="str">
        <x:v>exclude</x:v>
      </x:c>
      <x:c r="S8" s="60" t="str">
        <x:v>2026-07-22</x:v>
      </x:c>
      <x:c r="T8" s="60" t="str">
        <x:v>Operational viable class means observed nonlethal phenotype evidence.</x:v>
      </x:c>
      <x:c r="U8" s="60" t="str">
        <x:v>Available</x:v>
      </x:c>
      <x:c r="V8" s="60" t="str"/>
    </x:row>
    <x:row r="9">
      <x:c r="A9" s="60" t="str">
        <x:v>required</x:v>
      </x:c>
      <x:c r="B9" s="60" t="str">
        <x:v>primary</x:v>
      </x:c>
      <x:c r="C9" s="60" t="str">
        <x:v>fish</x:v>
      </x:c>
      <x:c r="D9" s="60" t="n">
        <x:v>2022</x:v>
      </x:c>
      <x:c r="E9" s="60" t="str">
        <x:v>fish-2022</x:v>
      </x:c>
      <x:c r="F9" s="60" t="str">
        <x:v>data/fish/phenotype_data/zfin/2022/phenoGeneCleanData_fish.txt.gz</x:v>
      </x:c>
      <x:c r="G9" s="60" t="str"/>
      <x:c r="H9" s="60" t="str">
        <x:v>data/fish/gene_association/go_archive/2022/zfin.gaf.gz</x:v>
      </x:c>
      <x:c r="I9" s="60" t="str">
        <x:v>data/go/2022/go-basic_2022-01-13.obo.gz</x:v>
      </x:c>
      <x:c r="J9" s="60" t="str"/>
      <x:c r="K9" s="60" t="str">
        <x:v>ZFIN phenotype 2022</x:v>
      </x:c>
      <x:c r="L9" s="60" t="str">
        <x:v>GO release 2022-01-01</x:v>
      </x:c>
      <x:c r="M9" s="60" t="str">
        <x:v>GO basic 2022-01-13</x:v>
      </x:c>
      <x:c r="N9" s="60" t="str"/>
      <x:c r="O9" s="60" t="str">
        <x:v>release_records</x:v>
      </x:c>
      <x:c r="P9" s="60" t="str">
        <x:v>observed_viable</x:v>
      </x:c>
      <x:c r="Q9" s="60" t="str">
        <x:v>lethal_wins</x:v>
      </x:c>
      <x:c r="R9" s="60" t="str">
        <x:v>exclude</x:v>
      </x:c>
      <x:c r="S9" s="60" t="str">
        <x:v>2026-07-22</x:v>
      </x:c>
      <x:c r="T9" s="60" t="str">
        <x:v>Operational viable class means observed nonlethal phenotype evidence.</x:v>
      </x:c>
      <x:c r="U9" s="60" t="str">
        <x:v>Available</x:v>
      </x:c>
      <x:c r="V9" s="60" t="str"/>
    </x:row>
    <x:row r="10">
      <x:c r="A10" s="60" t="str">
        <x:v>required</x:v>
      </x:c>
      <x:c r="B10" s="60" t="str">
        <x:v>primary</x:v>
      </x:c>
      <x:c r="C10" s="60" t="str">
        <x:v>fish</x:v>
      </x:c>
      <x:c r="D10" s="60" t="n">
        <x:v>2023</x:v>
      </x:c>
      <x:c r="E10" s="60" t="str">
        <x:v>fish-2023</x:v>
      </x:c>
      <x:c r="F10" s="60" t="str">
        <x:v>data/fish/phenotype_data/zfin/2023/phenoGeneCleanData_fish.txt.gz</x:v>
      </x:c>
      <x:c r="G10" s="60" t="str"/>
      <x:c r="H10" s="60" t="str">
        <x:v>data/fish/gene_association/go_archive/2023/zfin.gaf.gz</x:v>
      </x:c>
      <x:c r="I10" s="60" t="str">
        <x:v>data/go/2023/go-basic_2023-01-01.obo.gz</x:v>
      </x:c>
      <x:c r="J10" s="60" t="str"/>
      <x:c r="K10" s="60" t="str">
        <x:v>ZFIN phenotype 2023</x:v>
      </x:c>
      <x:c r="L10" s="60" t="str">
        <x:v>GO release 2023-01-01</x:v>
      </x:c>
      <x:c r="M10" s="60" t="str">
        <x:v>GO basic 2023-01-01</x:v>
      </x:c>
      <x:c r="N10" s="60" t="str"/>
      <x:c r="O10" s="60" t="str">
        <x:v>release_records</x:v>
      </x:c>
      <x:c r="P10" s="60" t="str">
        <x:v>observed_viable</x:v>
      </x:c>
      <x:c r="Q10" s="60" t="str">
        <x:v>lethal_wins</x:v>
      </x:c>
      <x:c r="R10" s="60" t="str">
        <x:v>exclude</x:v>
      </x:c>
      <x:c r="S10" s="60" t="str">
        <x:v>2026-07-22</x:v>
      </x:c>
      <x:c r="T10" s="60" t="str">
        <x:v>Operational viable class means observed nonlethal phenotype evidence.</x:v>
      </x:c>
      <x:c r="U10" s="60" t="str">
        <x:v>Available</x:v>
      </x:c>
      <x:c r="V10" s="60" t="str"/>
    </x:row>
    <x:row r="11">
      <x:c r="A11" s="60" t="str">
        <x:v>required</x:v>
      </x:c>
      <x:c r="B11" s="60" t="str">
        <x:v>primary</x:v>
      </x:c>
      <x:c r="C11" s="60" t="str">
        <x:v>fish</x:v>
      </x:c>
      <x:c r="D11" s="60" t="n">
        <x:v>2024</x:v>
      </x:c>
      <x:c r="E11" s="60" t="str">
        <x:v>fish-2024</x:v>
      </x:c>
      <x:c r="F11" s="60" t="str">
        <x:v>data/fish/phenotype_data/zfin/2024/phenoGeneCleanData_fish.txt.gz</x:v>
      </x:c>
      <x:c r="G11" s="60" t="str"/>
      <x:c r="H11" s="60" t="str">
        <x:v>data/fish/gene_association/go_archive/2024/zfin.gaf.gz</x:v>
      </x:c>
      <x:c r="I11" s="60" t="str">
        <x:v>data/go/2024/go-basic_2024-01-17.obo.gz</x:v>
      </x:c>
      <x:c r="J11" s="60" t="str"/>
      <x:c r="K11" s="60" t="str">
        <x:v>ZFIN phenotype 2024</x:v>
      </x:c>
      <x:c r="L11" s="60" t="str">
        <x:v>GO release 2024-01-01</x:v>
      </x:c>
      <x:c r="M11" s="60" t="str">
        <x:v>GO basic 2024-01-17</x:v>
      </x:c>
      <x:c r="N11" s="60" t="str"/>
      <x:c r="O11" s="60" t="str">
        <x:v>release_records</x:v>
      </x:c>
      <x:c r="P11" s="60" t="str">
        <x:v>observed_viable</x:v>
      </x:c>
      <x:c r="Q11" s="60" t="str">
        <x:v>lethal_wins</x:v>
      </x:c>
      <x:c r="R11" s="60" t="str">
        <x:v>exclude</x:v>
      </x:c>
      <x:c r="S11" s="60" t="str">
        <x:v>2026-07-22</x:v>
      </x:c>
      <x:c r="T11" s="60" t="str">
        <x:v>Operational viable class means observed nonlethal phenotype evidence.</x:v>
      </x:c>
      <x:c r="U11" s="60" t="str">
        <x:v>Available</x:v>
      </x:c>
      <x:c r="V11" s="60" t="str"/>
    </x:row>
    <x:row r="12">
      <x:c r="A12" s="60" t="str">
        <x:v>required</x:v>
      </x:c>
      <x:c r="B12" s="60" t="str">
        <x:v>primary</x:v>
      </x:c>
      <x:c r="C12" s="60" t="str">
        <x:v>fish</x:v>
      </x:c>
      <x:c r="D12" s="60" t="n">
        <x:v>2025</x:v>
      </x:c>
      <x:c r="E12" s="60" t="str">
        <x:v>fish-2025</x:v>
      </x:c>
      <x:c r="F12" s="60" t="str">
        <x:v>data/fish/phenotype_data/zfin/2025/phenoGeneCleanData_fish.txt.gz</x:v>
      </x:c>
      <x:c r="G12" s="60" t="str"/>
      <x:c r="H12" s="60" t="str">
        <x:v>data/fish/gene_association/go_archive/2025/zfin.gaf.gz</x:v>
      </x:c>
      <x:c r="I12" s="60" t="str">
        <x:v>data/go/2025/go-basic_2025-02-06.obo.gz</x:v>
      </x:c>
      <x:c r="J12" s="60" t="str"/>
      <x:c r="K12" s="60" t="str">
        <x:v>ZFIN phenotype 2025</x:v>
      </x:c>
      <x:c r="L12" s="60" t="str">
        <x:v>GO release 2025-01-01</x:v>
      </x:c>
      <x:c r="M12" s="60" t="str">
        <x:v>GO basic 2025-02-06</x:v>
      </x:c>
      <x:c r="N12" s="60" t="str"/>
      <x:c r="O12" s="60" t="str">
        <x:v>release_records</x:v>
      </x:c>
      <x:c r="P12" s="60" t="str">
        <x:v>observed_viable</x:v>
      </x:c>
      <x:c r="Q12" s="60" t="str">
        <x:v>lethal_wins</x:v>
      </x:c>
      <x:c r="R12" s="60" t="str">
        <x:v>exclude</x:v>
      </x:c>
      <x:c r="S12" s="60" t="str">
        <x:v>2026-07-22</x:v>
      </x:c>
      <x:c r="T12" s="60" t="str">
        <x:v>Operational viable class means observed nonlethal phenotype evidence.</x:v>
      </x:c>
      <x:c r="U12" s="60" t="str">
        <x:v>Available</x:v>
      </x:c>
      <x:c r="V12" s="60" t="str"/>
    </x:row>
    <x:row r="13">
      <x:c r="A13" s="60" t="str">
        <x:v>required</x:v>
      </x:c>
      <x:c r="B13" s="60" t="str">
        <x:v>primary</x:v>
      </x:c>
      <x:c r="C13" s="60" t="str">
        <x:v>fly</x:v>
      </x:c>
      <x:c r="D13" s="60" t="n">
        <x:v>2015</x:v>
      </x:c>
      <x:c r="E13" s="60" t="str">
        <x:v>fly-2015</x:v>
      </x:c>
      <x:c r="F13" s="60" t="str">
        <x:v>data/fly/phenotype_data/fb/2015/allele_phenotypic_data_fb_2015_01.tsv.gz</x:v>
      </x:c>
      <x:c r="G13" s="60" t="str"/>
      <x:c r="H13" s="60" t="str">
        <x:v>data/fly/gene_association/go_archive/2015/fb.gaf.gz</x:v>
      </x:c>
      <x:c r="I13" s="60" t="str">
        <x:v>data/go/2015/go-basic_2015-01-01.obo.gz</x:v>
      </x:c>
      <x:c r="J13" s="60" t="str"/>
      <x:c r="K13" s="60" t="str">
        <x:v>FlyBase fb_2015_01</x:v>
      </x:c>
      <x:c r="L13" s="60" t="str">
        <x:v>GO release 2015-01-01</x:v>
      </x:c>
      <x:c r="M13" s="60" t="str">
        <x:v>GO basic 2015-01-01</x:v>
      </x:c>
      <x:c r="N13" s="60" t="str">
        <x:v>FlyBase fb_2015_01</x:v>
      </x:c>
      <x:c r="O13" s="60" t="str">
        <x:v>release_records</x:v>
      </x:c>
      <x:c r="P13" s="60" t="str">
        <x:v>explicit_only</x:v>
      </x:c>
      <x:c r="Q13" s="60" t="str">
        <x:v>exclude</x:v>
      </x:c>
      <x:c r="R13" s="60" t="str">
        <x:v>exclude</x:v>
      </x:c>
      <x:c r="S13" s="60" t="str">
        <x:v>2026-07-22</x:v>
      </x:c>
      <x:c r="T13" s="60" t="str">
        <x:v>Taxon assignments are derived from taxon:7227 records in the release GAF.</x:v>
      </x:c>
      <x:c r="U13" s="60" t="str">
        <x:v>Available</x:v>
      </x:c>
      <x:c r="V13" s="60" t="str"/>
    </x:row>
    <x:row r="14">
      <x:c r="A14" s="60" t="str">
        <x:v>required</x:v>
      </x:c>
      <x:c r="B14" s="60" t="str">
        <x:v>primary</x:v>
      </x:c>
      <x:c r="C14" s="60" t="str">
        <x:v>fly</x:v>
      </x:c>
      <x:c r="D14" s="60" t="n">
        <x:v>2016</x:v>
      </x:c>
      <x:c r="E14" s="60" t="str">
        <x:v>fly-2016</x:v>
      </x:c>
      <x:c r="F14" s="60" t="str">
        <x:v>data/fly/phenotype_data/fb/2016/allele_phenotypic_data_fb_2016_01.tsv.gz</x:v>
      </x:c>
      <x:c r="G14" s="60" t="str"/>
      <x:c r="H14" s="60" t="str">
        <x:v>data/fly/gene_association/go_archive/2016/fb.gaf.gz</x:v>
      </x:c>
      <x:c r="I14" s="60" t="str">
        <x:v>data/go/2016/go-basic_2016-01-01.obo.gz</x:v>
      </x:c>
      <x:c r="J14" s="60" t="str"/>
      <x:c r="K14" s="60" t="str">
        <x:v>FlyBase fb_2016_01</x:v>
      </x:c>
      <x:c r="L14" s="60" t="str">
        <x:v>GO release 2016-01-01</x:v>
      </x:c>
      <x:c r="M14" s="60" t="str">
        <x:v>GO basic 2016-01-01</x:v>
      </x:c>
      <x:c r="N14" s="60" t="str">
        <x:v>FlyBase fb_2016_01</x:v>
      </x:c>
      <x:c r="O14" s="60" t="str">
        <x:v>release_records</x:v>
      </x:c>
      <x:c r="P14" s="60" t="str">
        <x:v>explicit_only</x:v>
      </x:c>
      <x:c r="Q14" s="60" t="str">
        <x:v>exclude</x:v>
      </x:c>
      <x:c r="R14" s="60" t="str">
        <x:v>exclude</x:v>
      </x:c>
      <x:c r="S14" s="60" t="str">
        <x:v>2026-07-22</x:v>
      </x:c>
      <x:c r="T14" s="60" t="str">
        <x:v>Taxon assignments are derived from taxon:7227 records in the release GAF.</x:v>
      </x:c>
      <x:c r="U14" s="60" t="str">
        <x:v>Available</x:v>
      </x:c>
      <x:c r="V14" s="60" t="str"/>
    </x:row>
    <x:row r="15">
      <x:c r="A15" s="60" t="str">
        <x:v>required</x:v>
      </x:c>
      <x:c r="B15" s="60" t="str">
        <x:v>primary</x:v>
      </x:c>
      <x:c r="C15" s="60" t="str">
        <x:v>fly</x:v>
      </x:c>
      <x:c r="D15" s="60" t="n">
        <x:v>2017</x:v>
      </x:c>
      <x:c r="E15" s="60" t="str">
        <x:v>fly-2017</x:v>
      </x:c>
      <x:c r="F15" s="60" t="str">
        <x:v>data/fly/phenotype_data/fb/2017/allele_phenotypic_data_fb_2017_01.tsv.gz</x:v>
      </x:c>
      <x:c r="G15" s="60" t="str"/>
      <x:c r="H15" s="60" t="str">
        <x:v>data/fly/gene_association/go_archive/2017/fb.gaf.gz</x:v>
      </x:c>
      <x:c r="I15" s="60" t="str">
        <x:v>data/go/2017/go-basic_2017-01-01.obo.gz</x:v>
      </x:c>
      <x:c r="J15" s="60" t="str"/>
      <x:c r="K15" s="60" t="str">
        <x:v>FlyBase fb_2017_01</x:v>
      </x:c>
      <x:c r="L15" s="60" t="str">
        <x:v>GO release 2017-01-01</x:v>
      </x:c>
      <x:c r="M15" s="60" t="str">
        <x:v>GO basic 2017-01-01</x:v>
      </x:c>
      <x:c r="N15" s="60" t="str">
        <x:v>FlyBase fb_2017_01</x:v>
      </x:c>
      <x:c r="O15" s="60" t="str">
        <x:v>release_records</x:v>
      </x:c>
      <x:c r="P15" s="60" t="str">
        <x:v>explicit_only</x:v>
      </x:c>
      <x:c r="Q15" s="60" t="str">
        <x:v>exclude</x:v>
      </x:c>
      <x:c r="R15" s="60" t="str">
        <x:v>exclude</x:v>
      </x:c>
      <x:c r="S15" s="60" t="str">
        <x:v>2026-07-22</x:v>
      </x:c>
      <x:c r="T15" s="60" t="str">
        <x:v>Taxon assignments are derived from taxon:7227 records in the release GAF.</x:v>
      </x:c>
      <x:c r="U15" s="60" t="str">
        <x:v>Available</x:v>
      </x:c>
      <x:c r="V15" s="60" t="str"/>
    </x:row>
    <x:row r="16">
      <x:c r="A16" s="60" t="str">
        <x:v>required</x:v>
      </x:c>
      <x:c r="B16" s="60" t="str">
        <x:v>primary</x:v>
      </x:c>
      <x:c r="C16" s="60" t="str">
        <x:v>fly</x:v>
      </x:c>
      <x:c r="D16" s="60" t="n">
        <x:v>2018</x:v>
      </x:c>
      <x:c r="E16" s="60" t="str">
        <x:v>fly-2018</x:v>
      </x:c>
      <x:c r="F16" s="60" t="str">
        <x:v>data/fly/phenotype_data/fb/2018/allele_phenotypic_data_fb_2018_01.tsv.gz</x:v>
      </x:c>
      <x:c r="G16" s="60" t="str"/>
      <x:c r="H16" s="60" t="str">
        <x:v>data/fly/gene_association/go_archive/2018/fb.gaf.gz</x:v>
      </x:c>
      <x:c r="I16" s="60" t="str">
        <x:v>data/go/2018/go-basic_2018-01-01.obo.gz</x:v>
      </x:c>
      <x:c r="J16" s="60" t="str"/>
      <x:c r="K16" s="60" t="str">
        <x:v>FlyBase fb_2018_01</x:v>
      </x:c>
      <x:c r="L16" s="60" t="str">
        <x:v>GO release 2018-01-01</x:v>
      </x:c>
      <x:c r="M16" s="60" t="str">
        <x:v>GO basic 2018-01-01</x:v>
      </x:c>
      <x:c r="N16" s="60" t="str">
        <x:v>FlyBase fb_2018_01</x:v>
      </x:c>
      <x:c r="O16" s="60" t="str">
        <x:v>release_records</x:v>
      </x:c>
      <x:c r="P16" s="60" t="str">
        <x:v>explicit_only</x:v>
      </x:c>
      <x:c r="Q16" s="60" t="str">
        <x:v>exclude</x:v>
      </x:c>
      <x:c r="R16" s="60" t="str">
        <x:v>exclude</x:v>
      </x:c>
      <x:c r="S16" s="60" t="str">
        <x:v>2026-07-22</x:v>
      </x:c>
      <x:c r="T16" s="60" t="str">
        <x:v>Taxon assignments are derived from taxon:7227 records in the release GAF.</x:v>
      </x:c>
      <x:c r="U16" s="60" t="str">
        <x:v>Available</x:v>
      </x:c>
      <x:c r="V16" s="60" t="str"/>
    </x:row>
    <x:row r="17">
      <x:c r="A17" s="60" t="str">
        <x:v>required</x:v>
      </x:c>
      <x:c r="B17" s="60" t="str">
        <x:v>primary</x:v>
      </x:c>
      <x:c r="C17" s="60" t="str">
        <x:v>fly</x:v>
      </x:c>
      <x:c r="D17" s="60" t="n">
        <x:v>2019</x:v>
      </x:c>
      <x:c r="E17" s="60" t="str">
        <x:v>fly-2019</x:v>
      </x:c>
      <x:c r="F17" s="60" t="str">
        <x:v>data/fly/phenotype_data/fb/2019/allele_phenotypic_data_fb_2019_01.tsv.gz</x:v>
      </x:c>
      <x:c r="G17" s="60" t="str"/>
      <x:c r="H17" s="60" t="str">
        <x:v>data/fly/gene_association/go_archive/2019/fb.gaf.gz</x:v>
      </x:c>
      <x:c r="I17" s="60" t="str">
        <x:v>data/go/2019/go-basic_2019-01-01.obo.gz</x:v>
      </x:c>
      <x:c r="J17" s="60" t="str"/>
      <x:c r="K17" s="60" t="str">
        <x:v>FlyBase fb_2019_01</x:v>
      </x:c>
      <x:c r="L17" s="60" t="str">
        <x:v>GO release 2019-01-01</x:v>
      </x:c>
      <x:c r="M17" s="60" t="str">
        <x:v>GO basic 2019-01-01</x:v>
      </x:c>
      <x:c r="N17" s="60" t="str">
        <x:v>FlyBase fb_2019_01</x:v>
      </x:c>
      <x:c r="O17" s="60" t="str">
        <x:v>release_records</x:v>
      </x:c>
      <x:c r="P17" s="60" t="str">
        <x:v>explicit_only</x:v>
      </x:c>
      <x:c r="Q17" s="60" t="str">
        <x:v>exclude</x:v>
      </x:c>
      <x:c r="R17" s="60" t="str">
        <x:v>exclude</x:v>
      </x:c>
      <x:c r="S17" s="60" t="str">
        <x:v>2026-07-22</x:v>
      </x:c>
      <x:c r="T17" s="60" t="str">
        <x:v>Taxon assignments are derived from taxon:7227 records in the release GAF.</x:v>
      </x:c>
      <x:c r="U17" s="60" t="str">
        <x:v>Available</x:v>
      </x:c>
      <x:c r="V17" s="60" t="str"/>
    </x:row>
    <x:row r="18">
      <x:c r="A18" s="60" t="str">
        <x:v>required</x:v>
      </x:c>
      <x:c r="B18" s="60" t="str">
        <x:v>primary</x:v>
      </x:c>
      <x:c r="C18" s="60" t="str">
        <x:v>fly</x:v>
      </x:c>
      <x:c r="D18" s="60" t="n">
        <x:v>2020</x:v>
      </x:c>
      <x:c r="E18" s="60" t="str">
        <x:v>fly-2020</x:v>
      </x:c>
      <x:c r="F18" s="60" t="str">
        <x:v>data/fly/phenotype_data/fb/2020/allele_phenotypic_data_fb_2020_01.tsv.gz</x:v>
      </x:c>
      <x:c r="G18" s="60" t="str"/>
      <x:c r="H18" s="60" t="str">
        <x:v>data/fly/gene_association/go_archive/2020/fb.gaf.gz</x:v>
      </x:c>
      <x:c r="I18" s="60" t="str">
        <x:v>data/go/2020/go-basic_2020-01-01.obo.gz</x:v>
      </x:c>
      <x:c r="J18" s="60" t="str"/>
      <x:c r="K18" s="60" t="str">
        <x:v>FlyBase fb_2020_01</x:v>
      </x:c>
      <x:c r="L18" s="60" t="str">
        <x:v>GO release 2020-01-01</x:v>
      </x:c>
      <x:c r="M18" s="60" t="str">
        <x:v>GO basic 2020-01-01</x:v>
      </x:c>
      <x:c r="N18" s="60" t="str">
        <x:v>FlyBase fb_2020_01</x:v>
      </x:c>
      <x:c r="O18" s="60" t="str">
        <x:v>release_records</x:v>
      </x:c>
      <x:c r="P18" s="60" t="str">
        <x:v>explicit_only</x:v>
      </x:c>
      <x:c r="Q18" s="60" t="str">
        <x:v>exclude</x:v>
      </x:c>
      <x:c r="R18" s="60" t="str">
        <x:v>exclude</x:v>
      </x:c>
      <x:c r="S18" s="60" t="str">
        <x:v>2026-07-22</x:v>
      </x:c>
      <x:c r="T18" s="60" t="str">
        <x:v>Taxon assignments are derived from taxon:7227 records in the release GAF.</x:v>
      </x:c>
      <x:c r="U18" s="60" t="str">
        <x:v>Available</x:v>
      </x:c>
      <x:c r="V18" s="60" t="str"/>
    </x:row>
    <x:row r="19">
      <x:c r="A19" s="60" t="str">
        <x:v>required</x:v>
      </x:c>
      <x:c r="B19" s="60" t="str">
        <x:v>primary</x:v>
      </x:c>
      <x:c r="C19" s="60" t="str">
        <x:v>fly</x:v>
      </x:c>
      <x:c r="D19" s="60" t="n">
        <x:v>2021</x:v>
      </x:c>
      <x:c r="E19" s="60" t="str">
        <x:v>fly-2021</x:v>
      </x:c>
      <x:c r="F19" s="60" t="str">
        <x:v>data/fly/phenotype_data/fb/2021/allele_phenotypic_data_fb_2021_01.tsv.gz</x:v>
      </x:c>
      <x:c r="G19" s="60" t="str"/>
      <x:c r="H19" s="60" t="str">
        <x:v>data/fly/gene_association/go_archive/2021/fb.gaf.gz</x:v>
      </x:c>
      <x:c r="I19" s="60" t="str">
        <x:v>data/go/2021/go-basic_2021-01-01.obo.gz</x:v>
      </x:c>
      <x:c r="J19" s="60" t="str"/>
      <x:c r="K19" s="60" t="str">
        <x:v>FlyBase fb_2021_01</x:v>
      </x:c>
      <x:c r="L19" s="60" t="str">
        <x:v>GO release 2021-01-01</x:v>
      </x:c>
      <x:c r="M19" s="60" t="str">
        <x:v>GO basic 2021-01-01</x:v>
      </x:c>
      <x:c r="N19" s="60" t="str">
        <x:v>FlyBase fb_2021_01</x:v>
      </x:c>
      <x:c r="O19" s="60" t="str">
        <x:v>release_records</x:v>
      </x:c>
      <x:c r="P19" s="60" t="str">
        <x:v>explicit_only</x:v>
      </x:c>
      <x:c r="Q19" s="60" t="str">
        <x:v>exclude</x:v>
      </x:c>
      <x:c r="R19" s="60" t="str">
        <x:v>exclude</x:v>
      </x:c>
      <x:c r="S19" s="60" t="str">
        <x:v>2026-07-22</x:v>
      </x:c>
      <x:c r="T19" s="60" t="str">
        <x:v>Taxon assignments are derived from taxon:7227 records in the release GAF.</x:v>
      </x:c>
      <x:c r="U19" s="60" t="str">
        <x:v>Available</x:v>
      </x:c>
      <x:c r="V19" s="60" t="str"/>
    </x:row>
    <x:row r="20">
      <x:c r="A20" s="60" t="str">
        <x:v>required</x:v>
      </x:c>
      <x:c r="B20" s="60" t="str">
        <x:v>primary</x:v>
      </x:c>
      <x:c r="C20" s="60" t="str">
        <x:v>fly</x:v>
      </x:c>
      <x:c r="D20" s="60" t="n">
        <x:v>2022</x:v>
      </x:c>
      <x:c r="E20" s="60" t="str">
        <x:v>fly-2022</x:v>
      </x:c>
      <x:c r="F20" s="60" t="str">
        <x:v>data/fly/phenotype_data/fb/2022/allele_phenotypic_data_fb_2022_01.tsv.gz</x:v>
      </x:c>
      <x:c r="G20" s="60" t="str"/>
      <x:c r="H20" s="60" t="str">
        <x:v>data/fly/gene_association/go_archive/2022/fb.gaf.gz</x:v>
      </x:c>
      <x:c r="I20" s="60" t="str">
        <x:v>data/go/2022/go-basic_2022-01-13.obo.gz</x:v>
      </x:c>
      <x:c r="J20" s="60" t="str"/>
      <x:c r="K20" s="60" t="str">
        <x:v>FlyBase fb_2022_01</x:v>
      </x:c>
      <x:c r="L20" s="60" t="str">
        <x:v>GO release 2022-01-01</x:v>
      </x:c>
      <x:c r="M20" s="60" t="str">
        <x:v>GO basic 2022-01-13</x:v>
      </x:c>
      <x:c r="N20" s="60" t="str">
        <x:v>FlyBase fb_2022_01</x:v>
      </x:c>
      <x:c r="O20" s="60" t="str">
        <x:v>release_records</x:v>
      </x:c>
      <x:c r="P20" s="60" t="str">
        <x:v>explicit_only</x:v>
      </x:c>
      <x:c r="Q20" s="60" t="str">
        <x:v>exclude</x:v>
      </x:c>
      <x:c r="R20" s="60" t="str">
        <x:v>exclude</x:v>
      </x:c>
      <x:c r="S20" s="60" t="str">
        <x:v>2026-07-22</x:v>
      </x:c>
      <x:c r="T20" s="60" t="str">
        <x:v>Taxon assignments are derived from taxon:7227 records in the release GAF.</x:v>
      </x:c>
      <x:c r="U20" s="60" t="str">
        <x:v>Available</x:v>
      </x:c>
      <x:c r="V20" s="60" t="str"/>
    </x:row>
    <x:row r="21">
      <x:c r="A21" s="60" t="str">
        <x:v>required</x:v>
      </x:c>
      <x:c r="B21" s="60" t="str">
        <x:v>primary</x:v>
      </x:c>
      <x:c r="C21" s="60" t="str">
        <x:v>fly</x:v>
      </x:c>
      <x:c r="D21" s="60" t="n">
        <x:v>2023</x:v>
      </x:c>
      <x:c r="E21" s="60" t="str">
        <x:v>fly-2023</x:v>
      </x:c>
      <x:c r="F21" s="60" t="str">
        <x:v>data/fly/phenotype_data/fb/2023/genotype_phenotype_data_fb_2023_01.tsv.gz</x:v>
      </x:c>
      <x:c r="G21" s="60" t="str"/>
      <x:c r="H21" s="60" t="str">
        <x:v>data/fly/gene_association/go_archive/2023/fb.gaf.gz</x:v>
      </x:c>
      <x:c r="I21" s="60" t="str">
        <x:v>data/go/2023/go-basic_2023-01-01.obo.gz</x:v>
      </x:c>
      <x:c r="J21" s="60" t="str"/>
      <x:c r="K21" s="60" t="str">
        <x:v>FlyBase fb_2023_01</x:v>
      </x:c>
      <x:c r="L21" s="60" t="str">
        <x:v>GO release 2023-01-01</x:v>
      </x:c>
      <x:c r="M21" s="60" t="str">
        <x:v>GO basic 2023-01-01</x:v>
      </x:c>
      <x:c r="N21" s="60" t="str">
        <x:v>FlyBase fb_2023_01</x:v>
      </x:c>
      <x:c r="O21" s="60" t="str">
        <x:v>release_records</x:v>
      </x:c>
      <x:c r="P21" s="60" t="str">
        <x:v>explicit_only</x:v>
      </x:c>
      <x:c r="Q21" s="60" t="str">
        <x:v>exclude</x:v>
      </x:c>
      <x:c r="R21" s="60" t="str">
        <x:v>exclude</x:v>
      </x:c>
      <x:c r="S21" s="60" t="str">
        <x:v>2026-07-22</x:v>
      </x:c>
      <x:c r="T21" s="60" t="str">
        <x:v>Taxon assignments are derived from taxon:7227 records in the release GAF.</x:v>
      </x:c>
      <x:c r="U21" s="60" t="str">
        <x:v>Available</x:v>
      </x:c>
      <x:c r="V21" s="60" t="str"/>
    </x:row>
    <x:row r="22">
      <x:c r="A22" s="60" t="str">
        <x:v>required</x:v>
      </x:c>
      <x:c r="B22" s="60" t="str">
        <x:v>primary</x:v>
      </x:c>
      <x:c r="C22" s="60" t="str">
        <x:v>fly</x:v>
      </x:c>
      <x:c r="D22" s="60" t="n">
        <x:v>2024</x:v>
      </x:c>
      <x:c r="E22" s="60" t="str">
        <x:v>fly-2024</x:v>
      </x:c>
      <x:c r="F22" s="60" t="str">
        <x:v>data/fly/phenotype_data/fb/2024/genotype_phenotype_data_fb_2024_01.tsv.gz</x:v>
      </x:c>
      <x:c r="G22" s="60" t="str"/>
      <x:c r="H22" s="60" t="str">
        <x:v>data/fly/gene_association/go_archive/2024/fb.gaf.gz</x:v>
      </x:c>
      <x:c r="I22" s="60" t="str">
        <x:v>data/go/2024/go-basic_2024-01-17.obo.gz</x:v>
      </x:c>
      <x:c r="J22" s="60" t="str"/>
      <x:c r="K22" s="60" t="str">
        <x:v>FlyBase fb_2024_01</x:v>
      </x:c>
      <x:c r="L22" s="60" t="str">
        <x:v>GO release 2024-01-01</x:v>
      </x:c>
      <x:c r="M22" s="60" t="str">
        <x:v>GO basic 2024-01-17</x:v>
      </x:c>
      <x:c r="N22" s="60" t="str">
        <x:v>FlyBase fb_2024_01</x:v>
      </x:c>
      <x:c r="O22" s="60" t="str">
        <x:v>release_records</x:v>
      </x:c>
      <x:c r="P22" s="60" t="str">
        <x:v>explicit_only</x:v>
      </x:c>
      <x:c r="Q22" s="60" t="str">
        <x:v>exclude</x:v>
      </x:c>
      <x:c r="R22" s="60" t="str">
        <x:v>exclude</x:v>
      </x:c>
      <x:c r="S22" s="60" t="str">
        <x:v>2026-07-22</x:v>
      </x:c>
      <x:c r="T22" s="60" t="str">
        <x:v>Taxon assignments are derived from taxon:7227 records in the release GAF.</x:v>
      </x:c>
      <x:c r="U22" s="60" t="str">
        <x:v>Available</x:v>
      </x:c>
      <x:c r="V22" s="60" t="str"/>
    </x:row>
    <x:row r="23">
      <x:c r="A23" s="60" t="str">
        <x:v>required</x:v>
      </x:c>
      <x:c r="B23" s="60" t="str">
        <x:v>primary</x:v>
      </x:c>
      <x:c r="C23" s="60" t="str">
        <x:v>fly</x:v>
      </x:c>
      <x:c r="D23" s="60" t="n">
        <x:v>2025</x:v>
      </x:c>
      <x:c r="E23" s="60" t="str">
        <x:v>fly-2025</x:v>
      </x:c>
      <x:c r="F23" s="60" t="str">
        <x:v>data/fly/phenotype_data/fb/2025/genotype_phenotype_data_fb_2025_01.tsv.gz</x:v>
      </x:c>
      <x:c r="G23" s="60" t="str"/>
      <x:c r="H23" s="60" t="str">
        <x:v>data/fly/gene_association/go_archive/2025/fb.gaf.gz</x:v>
      </x:c>
      <x:c r="I23" s="60" t="str">
        <x:v>data/go/2025/go-basic_2025-02-06.obo.gz</x:v>
      </x:c>
      <x:c r="J23" s="60" t="str"/>
      <x:c r="K23" s="60" t="str">
        <x:v>FlyBase fb_2025_01</x:v>
      </x:c>
      <x:c r="L23" s="60" t="str">
        <x:v>GO release 2025-01-01</x:v>
      </x:c>
      <x:c r="M23" s="60" t="str">
        <x:v>GO basic 2025-02-06</x:v>
      </x:c>
      <x:c r="N23" s="60" t="str">
        <x:v>FlyBase fb_2025_01</x:v>
      </x:c>
      <x:c r="O23" s="60" t="str">
        <x:v>release_records</x:v>
      </x:c>
      <x:c r="P23" s="60" t="str">
        <x:v>explicit_only</x:v>
      </x:c>
      <x:c r="Q23" s="60" t="str">
        <x:v>exclude</x:v>
      </x:c>
      <x:c r="R23" s="60" t="str">
        <x:v>exclude</x:v>
      </x:c>
      <x:c r="S23" s="60" t="str">
        <x:v>2026-07-22</x:v>
      </x:c>
      <x:c r="T23" s="60" t="str">
        <x:v>Taxon assignments are derived from taxon:7227 records in the release GAF.</x:v>
      </x:c>
      <x:c r="U23" s="60" t="str">
        <x:v>Available</x:v>
      </x:c>
      <x:c r="V23" s="60" t="str"/>
    </x:row>
    <x:row r="24">
      <x:c r="A24" s="60" t="str">
        <x:v>required</x:v>
      </x:c>
      <x:c r="B24" s="60" t="str">
        <x:v>primary</x:v>
      </x:c>
      <x:c r="C24" s="60" t="str">
        <x:v>mouse</x:v>
      </x:c>
      <x:c r="D24" s="60" t="n">
        <x:v>2015</x:v>
      </x:c>
      <x:c r="E24" s="60" t="str">
        <x:v>mouse-2015</x:v>
      </x:c>
      <x:c r="F24" s="60" t="str"/>
      <x:c r="G24" s="60" t="str">
        <x:v>data/mouse/viable_genes/ebi/2015/viability.csv</x:v>
      </x:c>
      <x:c r="H24" s="60" t="str">
        <x:v>data/mouse/gene_association/go_archive/2015/mgi.gaf.gz</x:v>
      </x:c>
      <x:c r="I24" s="60" t="str">
        <x:v>data/go/2015/go-basic_2015-01-01.obo.gz</x:v>
      </x:c>
      <x:c r="J24" s="60" t="str"/>
      <x:c r="K24" s="60" t="str">
        <x:v>IMPC viability 2015</x:v>
      </x:c>
      <x:c r="L24" s="60" t="str">
        <x:v>GO release 2015-01-01</x:v>
      </x:c>
      <x:c r="M24" s="60" t="str">
        <x:v>GO basic 2015-01-01</x:v>
      </x:c>
      <x:c r="N24" s="60" t="str"/>
      <x:c r="O24" s="60" t="str">
        <x:v>gene_sets</x:v>
      </x:c>
      <x:c r="P24" s="60" t="str">
        <x:v>explicit_only</x:v>
      </x:c>
      <x:c r="Q24" s="60" t="str">
        <x:v>exclude</x:v>
      </x:c>
      <x:c r="R24" s="60" t="str">
        <x:v>exclude</x:v>
      </x:c>
      <x:c r="S24" s="60" t="str">
        <x:v>2026-07-22</x:v>
      </x:c>
      <x:c r="T24" s="60" t="str">
        <x:v>Subviable and conflicting calls are excluded from paired annual gene sets.</x:v>
      </x:c>
      <x:c r="U24" s="60" t="str">
        <x:v>Available</x:v>
      </x:c>
      <x:c r="V24" s="60" t="str"/>
    </x:row>
    <x:row r="25">
      <x:c r="A25" s="60" t="str">
        <x:v>required</x:v>
      </x:c>
      <x:c r="B25" s="60" t="str">
        <x:v>primary</x:v>
      </x:c>
      <x:c r="C25" s="60" t="str">
        <x:v>mouse</x:v>
      </x:c>
      <x:c r="D25" s="60" t="n">
        <x:v>2016</x:v>
      </x:c>
      <x:c r="E25" s="60" t="str">
        <x:v>mouse-2016</x:v>
      </x:c>
      <x:c r="F25" s="60" t="str"/>
      <x:c r="G25" s="60" t="str">
        <x:v>data/mouse/viable_genes/ebi/2016/viabilityReport.csv</x:v>
      </x:c>
      <x:c r="H25" s="60" t="str">
        <x:v>data/mouse/gene_association/go_archive/2016/mgi.gaf.gz</x:v>
      </x:c>
      <x:c r="I25" s="60" t="str">
        <x:v>data/go/2016/go-basic_2016-01-01.obo.gz</x:v>
      </x:c>
      <x:c r="J25" s="60" t="str"/>
      <x:c r="K25" s="60" t="str">
        <x:v>IMPC viability 2016</x:v>
      </x:c>
      <x:c r="L25" s="60" t="str">
        <x:v>GO release 2016-01-01</x:v>
      </x:c>
      <x:c r="M25" s="60" t="str">
        <x:v>GO basic 2016-01-01</x:v>
      </x:c>
      <x:c r="N25" s="60" t="str"/>
      <x:c r="O25" s="60" t="str">
        <x:v>gene_sets</x:v>
      </x:c>
      <x:c r="P25" s="60" t="str">
        <x:v>explicit_only</x:v>
      </x:c>
      <x:c r="Q25" s="60" t="str">
        <x:v>exclude</x:v>
      </x:c>
      <x:c r="R25" s="60" t="str">
        <x:v>exclude</x:v>
      </x:c>
      <x:c r="S25" s="60" t="str">
        <x:v>2026-07-22</x:v>
      </x:c>
      <x:c r="T25" s="60" t="str">
        <x:v>Subviable and conflicting calls are excluded from paired annual gene sets.</x:v>
      </x:c>
      <x:c r="U25" s="60" t="str">
        <x:v>Available</x:v>
      </x:c>
      <x:c r="V25" s="60" t="str"/>
    </x:row>
    <x:row r="26">
      <x:c r="A26" s="60" t="str">
        <x:v>required</x:v>
      </x:c>
      <x:c r="B26" s="60" t="str">
        <x:v>primary</x:v>
      </x:c>
      <x:c r="C26" s="60" t="str">
        <x:v>mouse</x:v>
      </x:c>
      <x:c r="D26" s="60" t="n">
        <x:v>2017</x:v>
      </x:c>
      <x:c r="E26" s="60" t="str">
        <x:v>mouse-2017</x:v>
      </x:c>
      <x:c r="F26" s="60" t="str"/>
      <x:c r="G26" s="60" t="str">
        <x:v>data/mouse/viable_genes/ebi/2017/viabilityReport.csv</x:v>
      </x:c>
      <x:c r="H26" s="60" t="str">
        <x:v>data/mouse/gene_association/go_archive/2017/mgi.gaf.gz</x:v>
      </x:c>
      <x:c r="I26" s="60" t="str">
        <x:v>data/go/2017/go-basic_2017-01-01.obo.gz</x:v>
      </x:c>
      <x:c r="J26" s="60" t="str"/>
      <x:c r="K26" s="60" t="str">
        <x:v>IMPC viability 2017</x:v>
      </x:c>
      <x:c r="L26" s="60" t="str">
        <x:v>GO release 2017-01-01</x:v>
      </x:c>
      <x:c r="M26" s="60" t="str">
        <x:v>GO basic 2017-01-01</x:v>
      </x:c>
      <x:c r="N26" s="60" t="str"/>
      <x:c r="O26" s="60" t="str">
        <x:v>gene_sets</x:v>
      </x:c>
      <x:c r="P26" s="60" t="str">
        <x:v>explicit_only</x:v>
      </x:c>
      <x:c r="Q26" s="60" t="str">
        <x:v>exclude</x:v>
      </x:c>
      <x:c r="R26" s="60" t="str">
        <x:v>exclude</x:v>
      </x:c>
      <x:c r="S26" s="60" t="str">
        <x:v>2026-07-22</x:v>
      </x:c>
      <x:c r="T26" s="60" t="str">
        <x:v>Subviable and conflicting calls are excluded from paired annual gene sets.</x:v>
      </x:c>
      <x:c r="U26" s="60" t="str">
        <x:v>Available</x:v>
      </x:c>
      <x:c r="V26" s="60" t="str"/>
    </x:row>
    <x:row r="27">
      <x:c r="A27" s="60" t="str">
        <x:v>required</x:v>
      </x:c>
      <x:c r="B27" s="60" t="str">
        <x:v>primary</x:v>
      </x:c>
      <x:c r="C27" s="60" t="str">
        <x:v>mouse</x:v>
      </x:c>
      <x:c r="D27" s="60" t="n">
        <x:v>2018</x:v>
      </x:c>
      <x:c r="E27" s="60" t="str">
        <x:v>mouse-2018</x:v>
      </x:c>
      <x:c r="F27" s="60" t="str"/>
      <x:c r="G27" s="60" t="str">
        <x:v>data/mouse/viable_genes/ebi/2018/viabilityReport.csv</x:v>
      </x:c>
      <x:c r="H27" s="60" t="str">
        <x:v>data/mouse/gene_association/go_archive/2018/mgi.gaf.gz</x:v>
      </x:c>
      <x:c r="I27" s="60" t="str">
        <x:v>data/go/2018/go-basic_2018-01-01.obo.gz</x:v>
      </x:c>
      <x:c r="J27" s="60" t="str"/>
      <x:c r="K27" s="60" t="str">
        <x:v>IMPC viability 2018</x:v>
      </x:c>
      <x:c r="L27" s="60" t="str">
        <x:v>GO release 2018-01-01</x:v>
      </x:c>
      <x:c r="M27" s="60" t="str">
        <x:v>GO basic 2018-01-01</x:v>
      </x:c>
      <x:c r="N27" s="60" t="str"/>
      <x:c r="O27" s="60" t="str">
        <x:v>gene_sets</x:v>
      </x:c>
      <x:c r="P27" s="60" t="str">
        <x:v>explicit_only</x:v>
      </x:c>
      <x:c r="Q27" s="60" t="str">
        <x:v>exclude</x:v>
      </x:c>
      <x:c r="R27" s="60" t="str">
        <x:v>exclude</x:v>
      </x:c>
      <x:c r="S27" s="60" t="str">
        <x:v>2026-07-22</x:v>
      </x:c>
      <x:c r="T27" s="60" t="str">
        <x:v>Subviable and conflicting calls are excluded from paired annual gene sets.</x:v>
      </x:c>
      <x:c r="U27" s="60" t="str">
        <x:v>Available</x:v>
      </x:c>
      <x:c r="V27" s="60" t="str"/>
    </x:row>
    <x:row r="28">
      <x:c r="A28" s="60" t="str">
        <x:v>required</x:v>
      </x:c>
      <x:c r="B28" s="60" t="str">
        <x:v>primary</x:v>
      </x:c>
      <x:c r="C28" s="60" t="str">
        <x:v>mouse</x:v>
      </x:c>
      <x:c r="D28" s="60" t="n">
        <x:v>2019</x:v>
      </x:c>
      <x:c r="E28" s="60" t="str">
        <x:v>mouse-2019</x:v>
      </x:c>
      <x:c r="F28" s="60" t="str"/>
      <x:c r="G28" s="60" t="str">
        <x:v>data/mouse/viable_genes/ebi/2019/viabilityReport.csv</x:v>
      </x:c>
      <x:c r="H28" s="60" t="str">
        <x:v>data/mouse/gene_association/go_archive/2019/mgi.gaf.gz</x:v>
      </x:c>
      <x:c r="I28" s="60" t="str">
        <x:v>data/go/2019/go-basic_2019-01-01.obo.gz</x:v>
      </x:c>
      <x:c r="J28" s="60" t="str"/>
      <x:c r="K28" s="60" t="str">
        <x:v>IMPC viability 2019</x:v>
      </x:c>
      <x:c r="L28" s="60" t="str">
        <x:v>GO release 2019-01-01</x:v>
      </x:c>
      <x:c r="M28" s="60" t="str">
        <x:v>GO basic 2019-01-01</x:v>
      </x:c>
      <x:c r="N28" s="60" t="str"/>
      <x:c r="O28" s="60" t="str">
        <x:v>gene_sets</x:v>
      </x:c>
      <x:c r="P28" s="60" t="str">
        <x:v>explicit_only</x:v>
      </x:c>
      <x:c r="Q28" s="60" t="str">
        <x:v>exclude</x:v>
      </x:c>
      <x:c r="R28" s="60" t="str">
        <x:v>exclude</x:v>
      </x:c>
      <x:c r="S28" s="60" t="str">
        <x:v>2026-07-22</x:v>
      </x:c>
      <x:c r="T28" s="60" t="str">
        <x:v>Subviable and conflicting calls are excluded from paired annual gene sets.</x:v>
      </x:c>
      <x:c r="U28" s="60" t="str">
        <x:v>Available</x:v>
      </x:c>
      <x:c r="V28" s="60" t="str"/>
    </x:row>
    <x:row r="29">
      <x:c r="A29" s="60" t="str">
        <x:v>required</x:v>
      </x:c>
      <x:c r="B29" s="60" t="str">
        <x:v>primary</x:v>
      </x:c>
      <x:c r="C29" s="60" t="str">
        <x:v>mouse</x:v>
      </x:c>
      <x:c r="D29" s="60" t="n">
        <x:v>2020</x:v>
      </x:c>
      <x:c r="E29" s="60" t="str">
        <x:v>mouse-2020</x:v>
      </x:c>
      <x:c r="F29" s="60" t="str"/>
      <x:c r="G29" s="60" t="str">
        <x:v>data/mouse/viable_genes/ebi/2020/viabilityReport.csv</x:v>
      </x:c>
      <x:c r="H29" s="60" t="str">
        <x:v>data/mouse/gene_association/go_archive/2020/mgi.gaf.gz</x:v>
      </x:c>
      <x:c r="I29" s="60" t="str">
        <x:v>data/go/2020/go-basic_2020-01-01.obo.gz</x:v>
      </x:c>
      <x:c r="J29" s="60" t="str"/>
      <x:c r="K29" s="60" t="str">
        <x:v>IMPC viability 2020</x:v>
      </x:c>
      <x:c r="L29" s="60" t="str">
        <x:v>GO release 2020-01-01</x:v>
      </x:c>
      <x:c r="M29" s="60" t="str">
        <x:v>GO basic 2020-01-01</x:v>
      </x:c>
      <x:c r="N29" s="60" t="str"/>
      <x:c r="O29" s="60" t="str">
        <x:v>gene_sets</x:v>
      </x:c>
      <x:c r="P29" s="60" t="str">
        <x:v>explicit_only</x:v>
      </x:c>
      <x:c r="Q29" s="60" t="str">
        <x:v>exclude</x:v>
      </x:c>
      <x:c r="R29" s="60" t="str">
        <x:v>exclude</x:v>
      </x:c>
      <x:c r="S29" s="60" t="str">
        <x:v>2026-07-22</x:v>
      </x:c>
      <x:c r="T29" s="60" t="str">
        <x:v>Subviable and conflicting calls are excluded from paired annual gene sets.</x:v>
      </x:c>
      <x:c r="U29" s="60" t="str">
        <x:v>Available</x:v>
      </x:c>
      <x:c r="V29" s="60" t="str"/>
    </x:row>
    <x:row r="30">
      <x:c r="A30" s="60" t="str">
        <x:v>required</x:v>
      </x:c>
      <x:c r="B30" s="60" t="str">
        <x:v>primary</x:v>
      </x:c>
      <x:c r="C30" s="60" t="str">
        <x:v>mouse</x:v>
      </x:c>
      <x:c r="D30" s="60" t="n">
        <x:v>2021</x:v>
      </x:c>
      <x:c r="E30" s="60" t="str">
        <x:v>mouse-2021</x:v>
      </x:c>
      <x:c r="F30" s="60" t="str"/>
      <x:c r="G30" s="60" t="str">
        <x:v>data/mouse/viable_genes/ebi/2021/viability.csv.gz</x:v>
      </x:c>
      <x:c r="H30" s="60" t="str">
        <x:v>data/mouse/gene_association/go_archive/2021/mgi.gaf.gz</x:v>
      </x:c>
      <x:c r="I30" s="60" t="str">
        <x:v>data/go/2021/go-basic_2021-01-01.obo.gz</x:v>
      </x:c>
      <x:c r="J30" s="60" t="str"/>
      <x:c r="K30" s="60" t="str">
        <x:v>IMPC viability 2021</x:v>
      </x:c>
      <x:c r="L30" s="60" t="str">
        <x:v>GO release 2021-01-01</x:v>
      </x:c>
      <x:c r="M30" s="60" t="str">
        <x:v>GO basic 2021-01-01</x:v>
      </x:c>
      <x:c r="N30" s="60" t="str"/>
      <x:c r="O30" s="60" t="str">
        <x:v>gene_sets</x:v>
      </x:c>
      <x:c r="P30" s="60" t="str">
        <x:v>explicit_only</x:v>
      </x:c>
      <x:c r="Q30" s="60" t="str">
        <x:v>exclude</x:v>
      </x:c>
      <x:c r="R30" s="60" t="str">
        <x:v>exclude</x:v>
      </x:c>
      <x:c r="S30" s="60" t="str">
        <x:v>2026-07-22</x:v>
      </x:c>
      <x:c r="T30" s="60" t="str">
        <x:v>Subviable and conflicting calls are excluded from paired annual gene sets.</x:v>
      </x:c>
      <x:c r="U30" s="60" t="str">
        <x:v>Available</x:v>
      </x:c>
      <x:c r="V30" s="60" t="str"/>
    </x:row>
    <x:row r="31">
      <x:c r="A31" s="60" t="str">
        <x:v>required</x:v>
      </x:c>
      <x:c r="B31" s="60" t="str">
        <x:v>primary</x:v>
      </x:c>
      <x:c r="C31" s="60" t="str">
        <x:v>mouse</x:v>
      </x:c>
      <x:c r="D31" s="60" t="n">
        <x:v>2022</x:v>
      </x:c>
      <x:c r="E31" s="60" t="str">
        <x:v>mouse-2022</x:v>
      </x:c>
      <x:c r="F31" s="60" t="str"/>
      <x:c r="G31" s="60" t="str">
        <x:v>data/mouse/viable_genes/ebi/2022/viability.csv.gz</x:v>
      </x:c>
      <x:c r="H31" s="60" t="str">
        <x:v>data/mouse/gene_association/go_archive/2022/mgi.gaf.gz</x:v>
      </x:c>
      <x:c r="I31" s="60" t="str">
        <x:v>data/go/2022/go-basic_2022-01-13.obo.gz</x:v>
      </x:c>
      <x:c r="J31" s="60" t="str"/>
      <x:c r="K31" s="60" t="str">
        <x:v>IMPC viability 2022</x:v>
      </x:c>
      <x:c r="L31" s="60" t="str">
        <x:v>GO release 2022-01-01</x:v>
      </x:c>
      <x:c r="M31" s="60" t="str">
        <x:v>GO basic 2022-01-13</x:v>
      </x:c>
      <x:c r="N31" s="60" t="str"/>
      <x:c r="O31" s="60" t="str">
        <x:v>gene_sets</x:v>
      </x:c>
      <x:c r="P31" s="60" t="str">
        <x:v>explicit_only</x:v>
      </x:c>
      <x:c r="Q31" s="60" t="str">
        <x:v>exclude</x:v>
      </x:c>
      <x:c r="R31" s="60" t="str">
        <x:v>exclude</x:v>
      </x:c>
      <x:c r="S31" s="60" t="str">
        <x:v>2026-07-22</x:v>
      </x:c>
      <x:c r="T31" s="60" t="str">
        <x:v>Subviable and conflicting calls are excluded from paired annual gene sets.</x:v>
      </x:c>
      <x:c r="U31" s="60" t="str">
        <x:v>Available</x:v>
      </x:c>
      <x:c r="V31" s="60" t="str"/>
    </x:row>
    <x:row r="32">
      <x:c r="A32" s="60" t="str">
        <x:v>required</x:v>
      </x:c>
      <x:c r="B32" s="60" t="str">
        <x:v>primary</x:v>
      </x:c>
      <x:c r="C32" s="60" t="str">
        <x:v>mouse</x:v>
      </x:c>
      <x:c r="D32" s="60" t="n">
        <x:v>2023</x:v>
      </x:c>
      <x:c r="E32" s="60" t="str">
        <x:v>mouse-2023</x:v>
      </x:c>
      <x:c r="F32" s="60" t="str"/>
      <x:c r="G32" s="60" t="str">
        <x:v>data/mouse/viable_genes/ebi/2023/viability.csv.gz</x:v>
      </x:c>
      <x:c r="H32" s="60" t="str">
        <x:v>data/mouse/gene_association/go_archive/2023/mgi.gaf.gz</x:v>
      </x:c>
      <x:c r="I32" s="60" t="str">
        <x:v>data/go/2023/go-basic_2023-01-01.obo.gz</x:v>
      </x:c>
      <x:c r="J32" s="60" t="str"/>
      <x:c r="K32" s="60" t="str">
        <x:v>IMPC viability 2023</x:v>
      </x:c>
      <x:c r="L32" s="60" t="str">
        <x:v>GO release 2023-01-01</x:v>
      </x:c>
      <x:c r="M32" s="60" t="str">
        <x:v>GO basic 2023-01-01</x:v>
      </x:c>
      <x:c r="N32" s="60" t="str"/>
      <x:c r="O32" s="60" t="str">
        <x:v>gene_sets</x:v>
      </x:c>
      <x:c r="P32" s="60" t="str">
        <x:v>explicit_only</x:v>
      </x:c>
      <x:c r="Q32" s="60" t="str">
        <x:v>exclude</x:v>
      </x:c>
      <x:c r="R32" s="60" t="str">
        <x:v>exclude</x:v>
      </x:c>
      <x:c r="S32" s="60" t="str">
        <x:v>2026-07-22</x:v>
      </x:c>
      <x:c r="T32" s="60" t="str">
        <x:v>Subviable and conflicting calls are excluded from paired annual gene sets.</x:v>
      </x:c>
      <x:c r="U32" s="60" t="str">
        <x:v>Available</x:v>
      </x:c>
      <x:c r="V32" s="60" t="str"/>
    </x:row>
    <x:row r="33">
      <x:c r="A33" s="60" t="str">
        <x:v>required</x:v>
      </x:c>
      <x:c r="B33" s="60" t="str">
        <x:v>primary</x:v>
      </x:c>
      <x:c r="C33" s="60" t="str">
        <x:v>mouse</x:v>
      </x:c>
      <x:c r="D33" s="60" t="n">
        <x:v>2024</x:v>
      </x:c>
      <x:c r="E33" s="60" t="str">
        <x:v>mouse-2024</x:v>
      </x:c>
      <x:c r="F33" s="60" t="str"/>
      <x:c r="G33" s="60" t="str">
        <x:v>data/mouse/viable_genes/ebi/2024/viability.csv.gz</x:v>
      </x:c>
      <x:c r="H33" s="60" t="str">
        <x:v>data/mouse/gene_association/go_archive/2024/mgi.gaf.gz</x:v>
      </x:c>
      <x:c r="I33" s="60" t="str">
        <x:v>data/go/2024/go-basic_2024-01-17.obo.gz</x:v>
      </x:c>
      <x:c r="J33" s="60" t="str"/>
      <x:c r="K33" s="60" t="str">
        <x:v>IMPC viability 2024</x:v>
      </x:c>
      <x:c r="L33" s="60" t="str">
        <x:v>GO release 2024-01-01</x:v>
      </x:c>
      <x:c r="M33" s="60" t="str">
        <x:v>GO basic 2024-01-17</x:v>
      </x:c>
      <x:c r="N33" s="60" t="str"/>
      <x:c r="O33" s="60" t="str">
        <x:v>gene_sets</x:v>
      </x:c>
      <x:c r="P33" s="60" t="str">
        <x:v>explicit_only</x:v>
      </x:c>
      <x:c r="Q33" s="60" t="str">
        <x:v>exclude</x:v>
      </x:c>
      <x:c r="R33" s="60" t="str">
        <x:v>exclude</x:v>
      </x:c>
      <x:c r="S33" s="60" t="str">
        <x:v>2026-07-22</x:v>
      </x:c>
      <x:c r="T33" s="60" t="str">
        <x:v>Subviable and conflicting calls are excluded from paired annual gene sets.</x:v>
      </x:c>
      <x:c r="U33" s="60" t="str">
        <x:v>Available</x:v>
      </x:c>
      <x:c r="V33" s="60" t="str"/>
    </x:row>
    <x:row r="34">
      <x:c r="A34" s="60" t="str">
        <x:v>required</x:v>
      </x:c>
      <x:c r="B34" s="60" t="str">
        <x:v>primary</x:v>
      </x:c>
      <x:c r="C34" s="60" t="str">
        <x:v>mouse</x:v>
      </x:c>
      <x:c r="D34" s="60" t="n">
        <x:v>2025</x:v>
      </x:c>
      <x:c r="E34" s="60" t="str">
        <x:v>mouse-2025</x:v>
      </x:c>
      <x:c r="F34" s="60" t="str"/>
      <x:c r="G34" s="60" t="str">
        <x:v>data/mouse/viable_genes/ebi/2025/viability.csv.gz</x:v>
      </x:c>
      <x:c r="H34" s="60" t="str">
        <x:v>data/mouse/gene_association/go_archive/2025/mgi.gaf.gz</x:v>
      </x:c>
      <x:c r="I34" s="60" t="str">
        <x:v>data/go/2025/go-basic_2025-02-06.obo.gz</x:v>
      </x:c>
      <x:c r="J34" s="60" t="str"/>
      <x:c r="K34" s="60" t="str">
        <x:v>IMPC viability 2025</x:v>
      </x:c>
      <x:c r="L34" s="60" t="str">
        <x:v>GO release 2025-01-01</x:v>
      </x:c>
      <x:c r="M34" s="60" t="str">
        <x:v>GO basic 2025-02-06</x:v>
      </x:c>
      <x:c r="N34" s="60" t="str"/>
      <x:c r="O34" s="60" t="str">
        <x:v>gene_sets</x:v>
      </x:c>
      <x:c r="P34" s="60" t="str">
        <x:v>explicit_only</x:v>
      </x:c>
      <x:c r="Q34" s="60" t="str">
        <x:v>exclude</x:v>
      </x:c>
      <x:c r="R34" s="60" t="str">
        <x:v>exclude</x:v>
      </x:c>
      <x:c r="S34" s="60" t="str">
        <x:v>2026-07-22</x:v>
      </x:c>
      <x:c r="T34" s="60" t="str">
        <x:v>Subviable and conflicting calls are excluded from paired annual gene sets.</x:v>
      </x:c>
      <x:c r="U34" s="60" t="str">
        <x:v>Available</x:v>
      </x:c>
      <x:c r="V34" s="60" t="str"/>
    </x:row>
    <x:row r="35">
      <x:c r="A35" s="60" t="str">
        <x:v>required</x:v>
      </x:c>
      <x:c r="B35" s="60" t="str">
        <x:v>primary</x:v>
      </x:c>
      <x:c r="C35" s="60" t="str">
        <x:v>worm</x:v>
      </x:c>
      <x:c r="D35" s="60" t="n">
        <x:v>2015</x:v>
      </x:c>
      <x:c r="E35" s="60" t="str">
        <x:v>worm-WS247</x:v>
      </x:c>
      <x:c r="F35" s="60" t="str">
        <x:v>data/worm/phenotype_data/wb/2015/phenotype_association.WS247.wb.clean.col7.gz</x:v>
      </x:c>
      <x:c r="G35" s="60" t="str"/>
      <x:c r="H35" s="60" t="str">
        <x:v>data/worm/gene_association/go_archive/2015/wb.gaf.gz</x:v>
      </x:c>
      <x:c r="I35" s="60" t="str">
        <x:v>data/go/2015/go-basic_2015-01-01.obo.gz</x:v>
      </x:c>
      <x:c r="J35" s="60" t="str">
        <x:v>data/worm/phenotype_data/PO/phenotype_ontology.WS247.obo.gz</x:v>
      </x:c>
      <x:c r="K35" s="60" t="str">
        <x:v>WormBase WS247</x:v>
      </x:c>
      <x:c r="L35" s="60" t="str">
        <x:v>GO release 2015-01-01</x:v>
      </x:c>
      <x:c r="M35" s="60" t="str">
        <x:v>GO basic 2015-01-01</x:v>
      </x:c>
      <x:c r="N35" s="60" t="str">
        <x:v>WormBase phenotype ontology WS247</x:v>
      </x:c>
      <x:c r="O35" s="60" t="str">
        <x:v>release_records</x:v>
      </x:c>
      <x:c r="P35" s="60" t="str">
        <x:v>observed_viable</x:v>
      </x:c>
      <x:c r="Q35" s="60" t="str">
        <x:v>lethal_wins</x:v>
      </x:c>
      <x:c r="R35" s="60" t="str">
        <x:v>exclude</x:v>
      </x:c>
      <x:c r="S35" s="60" t="str">
        <x:v>2026-07-22</x:v>
      </x:c>
      <x:c r="T35" s="60" t="str">
        <x:v>Operational viable class means observed phenotype evidence outside lethal ontology descendants.</x:v>
      </x:c>
      <x:c r="U35" s="60" t="str">
        <x:v>Available</x:v>
      </x:c>
      <x:c r="V35" s="60" t="str"/>
    </x:row>
    <x:row r="36">
      <x:c r="A36" s="60" t="str">
        <x:v>required</x:v>
      </x:c>
      <x:c r="B36" s="60" t="str">
        <x:v>primary</x:v>
      </x:c>
      <x:c r="C36" s="60" t="str">
        <x:v>worm</x:v>
      </x:c>
      <x:c r="D36" s="60" t="n">
        <x:v>2016</x:v>
      </x:c>
      <x:c r="E36" s="60" t="str">
        <x:v>worm-WS250</x:v>
      </x:c>
      <x:c r="F36" s="60" t="str">
        <x:v>data/worm/phenotype_data/wb/2016/phenotype_association.WS250.wb.clean.col7.gz</x:v>
      </x:c>
      <x:c r="G36" s="60" t="str"/>
      <x:c r="H36" s="60" t="str">
        <x:v>data/worm/gene_association/go_archive/2016/wb.gaf.gz</x:v>
      </x:c>
      <x:c r="I36" s="60" t="str">
        <x:v>data/go/2016/go-basic_2016-01-01.obo.gz</x:v>
      </x:c>
      <x:c r="J36" s="60" t="str">
        <x:v>data/worm/phenotype_data/PO/phenotype_ontology.WS250.obo.gz</x:v>
      </x:c>
      <x:c r="K36" s="60" t="str">
        <x:v>WormBase WS250</x:v>
      </x:c>
      <x:c r="L36" s="60" t="str">
        <x:v>GO release 2016-01-01</x:v>
      </x:c>
      <x:c r="M36" s="60" t="str">
        <x:v>GO basic 2016-01-01</x:v>
      </x:c>
      <x:c r="N36" s="60" t="str">
        <x:v>WormBase phenotype ontology WS250</x:v>
      </x:c>
      <x:c r="O36" s="60" t="str">
        <x:v>release_records</x:v>
      </x:c>
      <x:c r="P36" s="60" t="str">
        <x:v>observed_viable</x:v>
      </x:c>
      <x:c r="Q36" s="60" t="str">
        <x:v>lethal_wins</x:v>
      </x:c>
      <x:c r="R36" s="60" t="str">
        <x:v>exclude</x:v>
      </x:c>
      <x:c r="S36" s="60" t="str">
        <x:v>2026-07-22</x:v>
      </x:c>
      <x:c r="T36" s="60" t="str">
        <x:v>Operational viable class means observed phenotype evidence outside lethal ontology descendants.</x:v>
      </x:c>
      <x:c r="U36" s="60" t="str">
        <x:v>Available</x:v>
      </x:c>
      <x:c r="V36" s="60" t="str"/>
    </x:row>
    <x:row r="37">
      <x:c r="A37" s="60" t="str">
        <x:v>required</x:v>
      </x:c>
      <x:c r="B37" s="60" t="str">
        <x:v>primary</x:v>
      </x:c>
      <x:c r="C37" s="60" t="str">
        <x:v>worm</x:v>
      </x:c>
      <x:c r="D37" s="60" t="n">
        <x:v>2017</x:v>
      </x:c>
      <x:c r="E37" s="60" t="str">
        <x:v>worm-WS257</x:v>
      </x:c>
      <x:c r="F37" s="60" t="str">
        <x:v>data/worm/phenotype_data/wb/2017/phenotype_association.WS257.wb.clean.col7.gz</x:v>
      </x:c>
      <x:c r="G37" s="60" t="str"/>
      <x:c r="H37" s="60" t="str">
        <x:v>data/worm/gene_association/go_archive/2017/wb.gaf.gz</x:v>
      </x:c>
      <x:c r="I37" s="60" t="str">
        <x:v>data/go/2017/go-basic_2017-01-01.obo.gz</x:v>
      </x:c>
      <x:c r="J37" s="60" t="str">
        <x:v>data/worm/phenotype_data/PO/phenotype_ontology.WS257.obo.gz</x:v>
      </x:c>
      <x:c r="K37" s="60" t="str">
        <x:v>WormBase WS257</x:v>
      </x:c>
      <x:c r="L37" s="60" t="str">
        <x:v>GO release 2017-01-01</x:v>
      </x:c>
      <x:c r="M37" s="60" t="str">
        <x:v>GO basic 2017-01-01</x:v>
      </x:c>
      <x:c r="N37" s="60" t="str">
        <x:v>WormBase phenotype ontology WS257</x:v>
      </x:c>
      <x:c r="O37" s="60" t="str">
        <x:v>release_records</x:v>
      </x:c>
      <x:c r="P37" s="60" t="str">
        <x:v>observed_viable</x:v>
      </x:c>
      <x:c r="Q37" s="60" t="str">
        <x:v>lethal_wins</x:v>
      </x:c>
      <x:c r="R37" s="60" t="str">
        <x:v>exclude</x:v>
      </x:c>
      <x:c r="S37" s="60" t="str">
        <x:v>2026-07-22</x:v>
      </x:c>
      <x:c r="T37" s="60" t="str">
        <x:v>Operational viable class means observed phenotype evidence outside lethal ontology descendants.</x:v>
      </x:c>
      <x:c r="U37" s="60" t="str">
        <x:v>Available</x:v>
      </x:c>
      <x:c r="V37" s="60" t="str"/>
    </x:row>
    <x:row r="38">
      <x:c r="A38" s="60" t="str">
        <x:v>required</x:v>
      </x:c>
      <x:c r="B38" s="60" t="str">
        <x:v>primary</x:v>
      </x:c>
      <x:c r="C38" s="60" t="str">
        <x:v>worm</x:v>
      </x:c>
      <x:c r="D38" s="60" t="n">
        <x:v>2018</x:v>
      </x:c>
      <x:c r="E38" s="60" t="str">
        <x:v>worm-WS262</x:v>
      </x:c>
      <x:c r="F38" s="60" t="str">
        <x:v>data/worm/phenotype_data/wb/2018/phenotype_association.WS262.wb.clean.col7.gz</x:v>
      </x:c>
      <x:c r="G38" s="60" t="str"/>
      <x:c r="H38" s="60" t="str">
        <x:v>data/worm/gene_association/go_archive/2018/wb.gaf.gz</x:v>
      </x:c>
      <x:c r="I38" s="60" t="str">
        <x:v>data/go/2018/go-basic_2018-01-01.obo.gz</x:v>
      </x:c>
      <x:c r="J38" s="60" t="str">
        <x:v>data/worm/phenotype_data/PO/phenotype_ontology.WS262.obo.gz</x:v>
      </x:c>
      <x:c r="K38" s="60" t="str">
        <x:v>WormBase WS262</x:v>
      </x:c>
      <x:c r="L38" s="60" t="str">
        <x:v>GO release 2018-01-01</x:v>
      </x:c>
      <x:c r="M38" s="60" t="str">
        <x:v>GO basic 2018-01-01</x:v>
      </x:c>
      <x:c r="N38" s="60" t="str">
        <x:v>WormBase phenotype ontology WS262</x:v>
      </x:c>
      <x:c r="O38" s="60" t="str">
        <x:v>release_records</x:v>
      </x:c>
      <x:c r="P38" s="60" t="str">
        <x:v>observed_viable</x:v>
      </x:c>
      <x:c r="Q38" s="60" t="str">
        <x:v>lethal_wins</x:v>
      </x:c>
      <x:c r="R38" s="60" t="str">
        <x:v>exclude</x:v>
      </x:c>
      <x:c r="S38" s="60" t="str">
        <x:v>2026-07-22</x:v>
      </x:c>
      <x:c r="T38" s="60" t="str">
        <x:v>Operational viable class means observed phenotype evidence outside lethal ontology descendants.</x:v>
      </x:c>
      <x:c r="U38" s="60" t="str">
        <x:v>Available</x:v>
      </x:c>
      <x:c r="V38" s="60" t="str"/>
    </x:row>
    <x:row r="39">
      <x:c r="A39" s="60" t="str">
        <x:v>required</x:v>
      </x:c>
      <x:c r="B39" s="60" t="str">
        <x:v>primary</x:v>
      </x:c>
      <x:c r="C39" s="60" t="str">
        <x:v>worm</x:v>
      </x:c>
      <x:c r="D39" s="60" t="n">
        <x:v>2019</x:v>
      </x:c>
      <x:c r="E39" s="60" t="str">
        <x:v>worm-WS270</x:v>
      </x:c>
      <x:c r="F39" s="60" t="str">
        <x:v>data/worm/phenotype_data/wb/2019/phenotype_association.WS270.wb.clean.col7.gz</x:v>
      </x:c>
      <x:c r="G39" s="60" t="str"/>
      <x:c r="H39" s="60" t="str">
        <x:v>data/worm/gene_association/go_archive/2019/wb.gaf.gz</x:v>
      </x:c>
      <x:c r="I39" s="60" t="str">
        <x:v>data/go/2019/go-basic_2019-01-01.obo.gz</x:v>
      </x:c>
      <x:c r="J39" s="60" t="str">
        <x:v>data/worm/phenotype_data/PO/phenotype_ontology.WS270.obo.gz</x:v>
      </x:c>
      <x:c r="K39" s="60" t="str">
        <x:v>WormBase WS270</x:v>
      </x:c>
      <x:c r="L39" s="60" t="str">
        <x:v>GO release 2019-01-01</x:v>
      </x:c>
      <x:c r="M39" s="60" t="str">
        <x:v>GO basic 2019-01-01</x:v>
      </x:c>
      <x:c r="N39" s="60" t="str">
        <x:v>WormBase phenotype ontology WS270</x:v>
      </x:c>
      <x:c r="O39" s="60" t="str">
        <x:v>release_records</x:v>
      </x:c>
      <x:c r="P39" s="60" t="str">
        <x:v>observed_viable</x:v>
      </x:c>
      <x:c r="Q39" s="60" t="str">
        <x:v>lethal_wins</x:v>
      </x:c>
      <x:c r="R39" s="60" t="str">
        <x:v>exclude</x:v>
      </x:c>
      <x:c r="S39" s="60" t="str">
        <x:v>2026-07-22</x:v>
      </x:c>
      <x:c r="T39" s="60" t="str">
        <x:v>Operational viable class means observed phenotype evidence outside lethal ontology descendants.</x:v>
      </x:c>
      <x:c r="U39" s="60" t="str">
        <x:v>Available</x:v>
      </x:c>
      <x:c r="V39" s="60" t="str"/>
    </x:row>
    <x:row r="40">
      <x:c r="A40" s="60" t="str">
        <x:v>required</x:v>
      </x:c>
      <x:c r="B40" s="60" t="str">
        <x:v>primary</x:v>
      </x:c>
      <x:c r="C40" s="60" t="str">
        <x:v>worm</x:v>
      </x:c>
      <x:c r="D40" s="60" t="n">
        <x:v>2020</x:v>
      </x:c>
      <x:c r="E40" s="60" t="str">
        <x:v>worm-WS275</x:v>
      </x:c>
      <x:c r="F40" s="60" t="str">
        <x:v>data/worm/phenotype_data/wb/2020/phenotype_association.WS275.wb.clean.col7.gz</x:v>
      </x:c>
      <x:c r="G40" s="60" t="str"/>
      <x:c r="H40" s="60" t="str">
        <x:v>data/worm/gene_association/go_archive/2020/wb.gaf.gz</x:v>
      </x:c>
      <x:c r="I40" s="60" t="str">
        <x:v>data/go/2020/go-basic_2020-01-01.obo.gz</x:v>
      </x:c>
      <x:c r="J40" s="60" t="str">
        <x:v>data/worm/phenotype_data/PO/phenotype_ontology.WS275.obo.gz</x:v>
      </x:c>
      <x:c r="K40" s="60" t="str">
        <x:v>WormBase WS275</x:v>
      </x:c>
      <x:c r="L40" s="60" t="str">
        <x:v>GO release 2020-01-01</x:v>
      </x:c>
      <x:c r="M40" s="60" t="str">
        <x:v>GO basic 2020-01-01</x:v>
      </x:c>
      <x:c r="N40" s="60" t="str">
        <x:v>WormBase phenotype ontology WS275</x:v>
      </x:c>
      <x:c r="O40" s="60" t="str">
        <x:v>release_records</x:v>
      </x:c>
      <x:c r="P40" s="60" t="str">
        <x:v>observed_viable</x:v>
      </x:c>
      <x:c r="Q40" s="60" t="str">
        <x:v>lethal_wins</x:v>
      </x:c>
      <x:c r="R40" s="60" t="str">
        <x:v>exclude</x:v>
      </x:c>
      <x:c r="S40" s="60" t="str">
        <x:v>2026-07-22</x:v>
      </x:c>
      <x:c r="T40" s="60" t="str">
        <x:v>Operational viable class means observed phenotype evidence outside lethal ontology descendants.</x:v>
      </x:c>
      <x:c r="U40" s="60" t="str">
        <x:v>Available</x:v>
      </x:c>
      <x:c r="V40" s="60" t="str"/>
    </x:row>
    <x:row r="41">
      <x:c r="A41" s="60" t="str">
        <x:v>required</x:v>
      </x:c>
      <x:c r="B41" s="60" t="str">
        <x:v>primary</x:v>
      </x:c>
      <x:c r="C41" s="60" t="str">
        <x:v>worm</x:v>
      </x:c>
      <x:c r="D41" s="60" t="n">
        <x:v>2021</x:v>
      </x:c>
      <x:c r="E41" s="60" t="str">
        <x:v>worm-WS279</x:v>
      </x:c>
      <x:c r="F41" s="60" t="str">
        <x:v>data/worm/phenotype_data/wb/2021/phenotype_association.WS279.wb.clean.col7.gz</x:v>
      </x:c>
      <x:c r="G41" s="60" t="str"/>
      <x:c r="H41" s="60" t="str">
        <x:v>data/worm/gene_association/go_archive/2021/wb.gaf.gz</x:v>
      </x:c>
      <x:c r="I41" s="60" t="str">
        <x:v>data/go/2021/go-basic_2021-01-01.obo.gz</x:v>
      </x:c>
      <x:c r="J41" s="60" t="str">
        <x:v>data/worm/phenotype_data/PO/phenotype_ontology.WS279.obo.gz</x:v>
      </x:c>
      <x:c r="K41" s="60" t="str">
        <x:v>WormBase WS279</x:v>
      </x:c>
      <x:c r="L41" s="60" t="str">
        <x:v>GO release 2021-01-01</x:v>
      </x:c>
      <x:c r="M41" s="60" t="str">
        <x:v>GO basic 2021-01-01</x:v>
      </x:c>
      <x:c r="N41" s="60" t="str">
        <x:v>WormBase phenotype ontology WS279</x:v>
      </x:c>
      <x:c r="O41" s="60" t="str">
        <x:v>release_records</x:v>
      </x:c>
      <x:c r="P41" s="60" t="str">
        <x:v>observed_viable</x:v>
      </x:c>
      <x:c r="Q41" s="60" t="str">
        <x:v>lethal_wins</x:v>
      </x:c>
      <x:c r="R41" s="60" t="str">
        <x:v>exclude</x:v>
      </x:c>
      <x:c r="S41" s="60" t="str">
        <x:v>2026-07-22</x:v>
      </x:c>
      <x:c r="T41" s="60" t="str">
        <x:v>Operational viable class means observed phenotype evidence outside lethal ontology descendants.</x:v>
      </x:c>
      <x:c r="U41" s="60" t="str">
        <x:v>Available</x:v>
      </x:c>
      <x:c r="V41" s="60" t="str"/>
    </x:row>
    <x:row r="42">
      <x:c r="A42" s="60" t="str">
        <x:v>required</x:v>
      </x:c>
      <x:c r="B42" s="60" t="str">
        <x:v>primary</x:v>
      </x:c>
      <x:c r="C42" s="60" t="str">
        <x:v>worm</x:v>
      </x:c>
      <x:c r="D42" s="60" t="n">
        <x:v>2022</x:v>
      </x:c>
      <x:c r="E42" s="60" t="str">
        <x:v>worm-WS284</x:v>
      </x:c>
      <x:c r="F42" s="60" t="str">
        <x:v>data/worm/phenotype_data/wb/2022/phenotype_association.WS284.wb.clean.col7.gz</x:v>
      </x:c>
      <x:c r="G42" s="60" t="str"/>
      <x:c r="H42" s="60" t="str">
        <x:v>data/worm/gene_association/go_archive/2022/wb.gaf.gz</x:v>
      </x:c>
      <x:c r="I42" s="60" t="str">
        <x:v>data/go/2022/go-basic_2022-01-13.obo.gz</x:v>
      </x:c>
      <x:c r="J42" s="60" t="str">
        <x:v>data/worm/phenotype_data/PO/phenotype_ontology.WS284.obo.gz</x:v>
      </x:c>
      <x:c r="K42" s="60" t="str">
        <x:v>WormBase WS284</x:v>
      </x:c>
      <x:c r="L42" s="60" t="str">
        <x:v>GO release 2022-01-01</x:v>
      </x:c>
      <x:c r="M42" s="60" t="str">
        <x:v>GO basic 2022-01-13</x:v>
      </x:c>
      <x:c r="N42" s="60" t="str">
        <x:v>WormBase phenotype ontology WS284</x:v>
      </x:c>
      <x:c r="O42" s="60" t="str">
        <x:v>release_records</x:v>
      </x:c>
      <x:c r="P42" s="60" t="str">
        <x:v>observed_viable</x:v>
      </x:c>
      <x:c r="Q42" s="60" t="str">
        <x:v>lethal_wins</x:v>
      </x:c>
      <x:c r="R42" s="60" t="str">
        <x:v>exclude</x:v>
      </x:c>
      <x:c r="S42" s="60" t="str">
        <x:v>2026-07-22</x:v>
      </x:c>
      <x:c r="T42" s="60" t="str">
        <x:v>Operational viable class means observed phenotype evidence outside lethal ontology descendants.</x:v>
      </x:c>
      <x:c r="U42" s="60" t="str">
        <x:v>Available</x:v>
      </x:c>
      <x:c r="V42" s="60" t="str"/>
    </x:row>
    <x:row r="43">
      <x:c r="A43" s="60" t="str">
        <x:v>required</x:v>
      </x:c>
      <x:c r="B43" s="60" t="str">
        <x:v>primary</x:v>
      </x:c>
      <x:c r="C43" s="60" t="str">
        <x:v>worm</x:v>
      </x:c>
      <x:c r="D43" s="60" t="n">
        <x:v>2023</x:v>
      </x:c>
      <x:c r="E43" s="60" t="str">
        <x:v>worm-WS287</x:v>
      </x:c>
      <x:c r="F43" s="60" t="str">
        <x:v>data/worm/phenotype_data/wb/2023/phenotype_association.WS287.wb.clean.col7.gz</x:v>
      </x:c>
      <x:c r="G43" s="60" t="str"/>
      <x:c r="H43" s="60" t="str">
        <x:v>data/worm/gene_association/go_archive/2023/wb.gaf.gz</x:v>
      </x:c>
      <x:c r="I43" s="60" t="str">
        <x:v>data/go/2023/go-basic_2023-01-01.obo.gz</x:v>
      </x:c>
      <x:c r="J43" s="60" t="str">
        <x:v>data/worm/phenotype_data/PO/phenotype_ontology.WS287.obo.gz</x:v>
      </x:c>
      <x:c r="K43" s="60" t="str">
        <x:v>WormBase WS287</x:v>
      </x:c>
      <x:c r="L43" s="60" t="str">
        <x:v>GO release 2023-01-01</x:v>
      </x:c>
      <x:c r="M43" s="60" t="str">
        <x:v>GO basic 2023-01-01</x:v>
      </x:c>
      <x:c r="N43" s="60" t="str">
        <x:v>WormBase phenotype ontology WS287</x:v>
      </x:c>
      <x:c r="O43" s="60" t="str">
        <x:v>release_records</x:v>
      </x:c>
      <x:c r="P43" s="60" t="str">
        <x:v>observed_viable</x:v>
      </x:c>
      <x:c r="Q43" s="60" t="str">
        <x:v>lethal_wins</x:v>
      </x:c>
      <x:c r="R43" s="60" t="str">
        <x:v>exclude</x:v>
      </x:c>
      <x:c r="S43" s="60" t="str">
        <x:v>2026-07-22</x:v>
      </x:c>
      <x:c r="T43" s="60" t="str">
        <x:v>Operational viable class means observed phenotype evidence outside lethal ontology descendants.</x:v>
      </x:c>
      <x:c r="U43" s="60" t="str">
        <x:v>Available</x:v>
      </x:c>
      <x:c r="V43" s="60" t="str"/>
    </x:row>
    <x:row r="44">
      <x:c r="A44" s="60" t="str">
        <x:v>required</x:v>
      </x:c>
      <x:c r="B44" s="60" t="str">
        <x:v>primary</x:v>
      </x:c>
      <x:c r="C44" s="60" t="str">
        <x:v>worm</x:v>
      </x:c>
      <x:c r="D44" s="60" t="n">
        <x:v>2024</x:v>
      </x:c>
      <x:c r="E44" s="60" t="str">
        <x:v>worm-WS292</x:v>
      </x:c>
      <x:c r="F44" s="60" t="str">
        <x:v>data/worm/phenotype_data/wb/2024/phenotype_association.WS292.wb.clean.col7.gz</x:v>
      </x:c>
      <x:c r="G44" s="60" t="str"/>
      <x:c r="H44" s="60" t="str">
        <x:v>data/worm/gene_association/go_archive/2024/wb.gaf.gz</x:v>
      </x:c>
      <x:c r="I44" s="60" t="str">
        <x:v>data/go/2024/go-basic_2024-01-17.obo.gz</x:v>
      </x:c>
      <x:c r="J44" s="60" t="str">
        <x:v>data/worm/phenotype_data/PO/phenotype_ontology.WS292.obo.gz</x:v>
      </x:c>
      <x:c r="K44" s="60" t="str">
        <x:v>WormBase WS292</x:v>
      </x:c>
      <x:c r="L44" s="60" t="str">
        <x:v>GO release 2024-01-01</x:v>
      </x:c>
      <x:c r="M44" s="60" t="str">
        <x:v>GO basic 2024-01-17</x:v>
      </x:c>
      <x:c r="N44" s="60" t="str">
        <x:v>WormBase phenotype ontology WS292</x:v>
      </x:c>
      <x:c r="O44" s="60" t="str">
        <x:v>release_records</x:v>
      </x:c>
      <x:c r="P44" s="60" t="str">
        <x:v>observed_viable</x:v>
      </x:c>
      <x:c r="Q44" s="60" t="str">
        <x:v>lethal_wins</x:v>
      </x:c>
      <x:c r="R44" s="60" t="str">
        <x:v>exclude</x:v>
      </x:c>
      <x:c r="S44" s="60" t="str">
        <x:v>2026-07-22</x:v>
      </x:c>
      <x:c r="T44" s="60" t="str">
        <x:v>Operational viable class means observed phenotype evidence outside lethal ontology descendants.</x:v>
      </x:c>
      <x:c r="U44" s="60" t="str">
        <x:v>Available</x:v>
      </x:c>
      <x:c r="V44" s="60" t="str"/>
    </x:row>
    <x:row r="45">
      <x:c r="A45" s="60" t="str">
        <x:v>required</x:v>
      </x:c>
      <x:c r="B45" s="60" t="str">
        <x:v>primary</x:v>
      </x:c>
      <x:c r="C45" s="60" t="str">
        <x:v>worm</x:v>
      </x:c>
      <x:c r="D45" s="60" t="n">
        <x:v>2025</x:v>
      </x:c>
      <x:c r="E45" s="60" t="str">
        <x:v>worm-WS297</x:v>
      </x:c>
      <x:c r="F45" s="60" t="str">
        <x:v>data/worm/phenotype_data/wb/2025/phenotype_association.WS297.wb.clean.col7.gz</x:v>
      </x:c>
      <x:c r="G45" s="60" t="str"/>
      <x:c r="H45" s="60" t="str">
        <x:v>data/worm/gene_association/go_archive/2025/wb.gaf.gz</x:v>
      </x:c>
      <x:c r="I45" s="60" t="str">
        <x:v>data/go/2025/go-basic_2025-02-06.obo.gz</x:v>
      </x:c>
      <x:c r="J45" s="60" t="str">
        <x:v>data/worm/phenotype_data/PO/phenotype_ontology.WS297.obo.gz</x:v>
      </x:c>
      <x:c r="K45" s="60" t="str">
        <x:v>WormBase WS297</x:v>
      </x:c>
      <x:c r="L45" s="60" t="str">
        <x:v>GO release 2025-01-01</x:v>
      </x:c>
      <x:c r="M45" s="60" t="str">
        <x:v>GO basic 2025-02-06</x:v>
      </x:c>
      <x:c r="N45" s="60" t="str">
        <x:v>WormBase phenotype ontology WS297</x:v>
      </x:c>
      <x:c r="O45" s="60" t="str">
        <x:v>release_records</x:v>
      </x:c>
      <x:c r="P45" s="60" t="str">
        <x:v>observed_viable</x:v>
      </x:c>
      <x:c r="Q45" s="60" t="str">
        <x:v>lethal_wins</x:v>
      </x:c>
      <x:c r="R45" s="60" t="str">
        <x:v>exclude</x:v>
      </x:c>
      <x:c r="S45" s="60" t="str">
        <x:v>2026-07-22</x:v>
      </x:c>
      <x:c r="T45" s="60" t="str">
        <x:v>Operational viable class means observed phenotype evidence outside lethal ontology descendants.</x:v>
      </x:c>
      <x:c r="U45" s="60" t="str">
        <x:v>Available</x:v>
      </x:c>
      <x:c r="V45" s="60" t="str"/>
    </x:row>
    <x:row r="46">
      <x:c r="A46" s="60" t="str">
        <x:v>required</x:v>
      </x:c>
      <x:c r="B46" s="60" t="str">
        <x:v>primary</x:v>
      </x:c>
      <x:c r="C46" s="60" t="str">
        <x:v>yeast</x:v>
      </x:c>
      <x:c r="D46" s="60" t="n">
        <x:v>2015</x:v>
      </x:c>
      <x:c r="E46" s="60" t="str">
        <x:v>yeast-2015</x:v>
      </x:c>
      <x:c r="F46" s="60" t="str">
        <x:v>data/yeast/phenotype_data/sgd/2015/phenotype_data.20150103.tab.gz</x:v>
      </x:c>
      <x:c r="G46" s="60" t="str"/>
      <x:c r="H46" s="60" t="str">
        <x:v>data/yeast/gene_association/go_archive/2015/sgd.gaf.gz</x:v>
      </x:c>
      <x:c r="I46" s="60" t="str">
        <x:v>data/go/2015/go-basic_2015-01-01.obo.gz</x:v>
      </x:c>
      <x:c r="J46" s="60" t="str"/>
      <x:c r="K46" s="60" t="str">
        <x:v>SGD phenotype 2015-01-03</x:v>
      </x:c>
      <x:c r="L46" s="60" t="str">
        <x:v>GO release 2015-01-01</x:v>
      </x:c>
      <x:c r="M46" s="60" t="str">
        <x:v>GO basic 2015-01-01</x:v>
      </x:c>
      <x:c r="N46" s="60" t="str"/>
      <x:c r="O46" s="60" t="str">
        <x:v>release_records</x:v>
      </x:c>
      <x:c r="P46" s="60" t="str">
        <x:v>explicit_only</x:v>
      </x:c>
      <x:c r="Q46" s="60" t="str">
        <x:v>exclude</x:v>
      </x:c>
      <x:c r="R46" s="60" t="str">
        <x:v>exclude</x:v>
      </x:c>
      <x:c r="S46" s="60" t="str">
        <x:v>2026-07-22</x:v>
      </x:c>
      <x:c r="T46" s="60" t="str">
        <x:v>Only years with archived SGD phenotype files are in the primary cohort.</x:v>
      </x:c>
      <x:c r="U46" s="60" t="str">
        <x:v>Available</x:v>
      </x:c>
      <x:c r="V46" s="60" t="str"/>
    </x:row>
    <x:row r="47">
      <x:c r="A47" s="60" t="str">
        <x:v>required</x:v>
      </x:c>
      <x:c r="B47" s="60" t="str">
        <x:v>primary</x:v>
      </x:c>
      <x:c r="C47" s="60" t="str">
        <x:v>yeast</x:v>
      </x:c>
      <x:c r="D47" s="60" t="n">
        <x:v>2016</x:v>
      </x:c>
      <x:c r="E47" s="60" t="str">
        <x:v>yeast-2016</x:v>
      </x:c>
      <x:c r="F47" s="60" t="str">
        <x:v>data/yeast/phenotype_data/sgd/2016/phenotype_data.20160102.tab.gz</x:v>
      </x:c>
      <x:c r="G47" s="60" t="str"/>
      <x:c r="H47" s="60" t="str">
        <x:v>data/yeast/gene_association/go_archive/2016/sgd.gaf.gz</x:v>
      </x:c>
      <x:c r="I47" s="60" t="str">
        <x:v>data/go/2016/go-basic_2016-01-01.obo.gz</x:v>
      </x:c>
      <x:c r="J47" s="60" t="str"/>
      <x:c r="K47" s="60" t="str">
        <x:v>SGD phenotype 2016-01-02</x:v>
      </x:c>
      <x:c r="L47" s="60" t="str">
        <x:v>GO release 2016-01-01</x:v>
      </x:c>
      <x:c r="M47" s="60" t="str">
        <x:v>GO basic 2016-01-01</x:v>
      </x:c>
      <x:c r="N47" s="60" t="str"/>
      <x:c r="O47" s="60" t="str">
        <x:v>release_records</x:v>
      </x:c>
      <x:c r="P47" s="60" t="str">
        <x:v>explicit_only</x:v>
      </x:c>
      <x:c r="Q47" s="60" t="str">
        <x:v>exclude</x:v>
      </x:c>
      <x:c r="R47" s="60" t="str">
        <x:v>exclude</x:v>
      </x:c>
      <x:c r="S47" s="60" t="str">
        <x:v>2026-07-22</x:v>
      </x:c>
      <x:c r="T47" s="60" t="str">
        <x:v>Only years with archived SGD phenotype files are in the primary cohort.</x:v>
      </x:c>
      <x:c r="U47" s="60" t="str">
        <x:v>Available</x:v>
      </x:c>
      <x:c r="V47" s="60" t="str"/>
    </x:row>
    <x:row r="48">
      <x:c r="A48" s="60" t="str">
        <x:v>required</x:v>
      </x:c>
      <x:c r="B48" s="60" t="str">
        <x:v>primary</x:v>
      </x:c>
      <x:c r="C48" s="60" t="str">
        <x:v>yeast</x:v>
      </x:c>
      <x:c r="D48" s="60" t="n">
        <x:v>2017</x:v>
      </x:c>
      <x:c r="E48" s="60" t="str">
        <x:v>yeast-2017</x:v>
      </x:c>
      <x:c r="F48" s="60" t="str">
        <x:v>data/yeast/phenotype_data/sgd/2017/phenotype_data.20170107.tab.gz</x:v>
      </x:c>
      <x:c r="G48" s="60" t="str"/>
      <x:c r="H48" s="60" t="str">
        <x:v>data/yeast/gene_association/go_archive/2017/sgd.gaf.gz</x:v>
      </x:c>
      <x:c r="I48" s="60" t="str">
        <x:v>data/go/2017/go-basic_2017-01-01.obo.gz</x:v>
      </x:c>
      <x:c r="J48" s="60" t="str"/>
      <x:c r="K48" s="60" t="str">
        <x:v>SGD phenotype 2017-01-07</x:v>
      </x:c>
      <x:c r="L48" s="60" t="str">
        <x:v>GO release 2017-01-01</x:v>
      </x:c>
      <x:c r="M48" s="60" t="str">
        <x:v>GO basic 2017-01-01</x:v>
      </x:c>
      <x:c r="N48" s="60" t="str"/>
      <x:c r="O48" s="60" t="str">
        <x:v>release_records</x:v>
      </x:c>
      <x:c r="P48" s="60" t="str">
        <x:v>explicit_only</x:v>
      </x:c>
      <x:c r="Q48" s="60" t="str">
        <x:v>exclude</x:v>
      </x:c>
      <x:c r="R48" s="60" t="str">
        <x:v>exclude</x:v>
      </x:c>
      <x:c r="S48" s="60" t="str">
        <x:v>2026-07-22</x:v>
      </x:c>
      <x:c r="T48" s="60" t="str">
        <x:v>Only years with archived SGD phenotype files are in the primary cohort.</x:v>
      </x:c>
      <x:c r="U48" s="60" t="str">
        <x:v>Available</x:v>
      </x:c>
      <x:c r="V48" s="60" t="str"/>
    </x:row>
    <x:row r="49">
      <x:c r="A49" s="60" t="str">
        <x:v>required</x:v>
      </x:c>
      <x:c r="B49" s="60" t="str">
        <x:v>primary</x:v>
      </x:c>
      <x:c r="C49" s="60" t="str">
        <x:v>yeast</x:v>
      </x:c>
      <x:c r="D49" s="60" t="n">
        <x:v>2024</x:v>
      </x:c>
      <x:c r="E49" s="60" t="str">
        <x:v>yeast-2024</x:v>
      </x:c>
      <x:c r="F49" s="60" t="str">
        <x:v>data/yeast/phenotype_data/sgd/2024/phenotype_data.tab_20240802.gz</x:v>
      </x:c>
      <x:c r="G49" s="60" t="str"/>
      <x:c r="H49" s="60" t="str">
        <x:v>data/yeast/gene_association/go_archive/2024/sgd.gaf.gz</x:v>
      </x:c>
      <x:c r="I49" s="60" t="str">
        <x:v>data/go/2024/go-basic_2024-01-17.obo.gz</x:v>
      </x:c>
      <x:c r="J49" s="60" t="str"/>
      <x:c r="K49" s="60" t="str">
        <x:v>SGD phenotype 2024-08-02</x:v>
      </x:c>
      <x:c r="L49" s="60" t="str">
        <x:v>GO release 2024-01-01</x:v>
      </x:c>
      <x:c r="M49" s="60" t="str">
        <x:v>GO basic 2024-01-17</x:v>
      </x:c>
      <x:c r="N49" s="60" t="str"/>
      <x:c r="O49" s="60" t="str">
        <x:v>release_records</x:v>
      </x:c>
      <x:c r="P49" s="60" t="str">
        <x:v>explicit_only</x:v>
      </x:c>
      <x:c r="Q49" s="60" t="str">
        <x:v>exclude</x:v>
      </x:c>
      <x:c r="R49" s="60" t="str">
        <x:v>exclude</x:v>
      </x:c>
      <x:c r="S49" s="60" t="str">
        <x:v>2026-07-22</x:v>
      </x:c>
      <x:c r="T49" s="60" t="str">
        <x:v>Only years with archived SGD phenotype files are in the primary cohort.</x:v>
      </x:c>
      <x:c r="U49" s="60" t="str">
        <x:v>Available</x:v>
      </x:c>
      <x:c r="V49" s="60" t="str"/>
    </x:row>
    <x:row r="50">
      <x:c r="A50" s="60" t="str">
        <x:v>required</x:v>
      </x:c>
      <x:c r="B50" s="60" t="str">
        <x:v>primary</x:v>
      </x:c>
      <x:c r="C50" s="60" t="str">
        <x:v>yeast</x:v>
      </x:c>
      <x:c r="D50" s="60" t="n">
        <x:v>2025</x:v>
      </x:c>
      <x:c r="E50" s="60" t="str">
        <x:v>yeast-2025</x:v>
      </x:c>
      <x:c r="F50" s="60" t="str">
        <x:v>data/yeast/phenotype_data/sgd/2025/phenotype_data.tab_20250103.gz</x:v>
      </x:c>
      <x:c r="G50" s="60" t="str"/>
      <x:c r="H50" s="60" t="str">
        <x:v>data/yeast/gene_association/go_archive/2025/sgd.gaf.gz</x:v>
      </x:c>
      <x:c r="I50" s="60" t="str">
        <x:v>data/go/2025/go-basic_2025-02-06.obo.gz</x:v>
      </x:c>
      <x:c r="J50" s="60" t="str"/>
      <x:c r="K50" s="60" t="str">
        <x:v>SGD phenotype 2025-01-03</x:v>
      </x:c>
      <x:c r="L50" s="60" t="str">
        <x:v>GO release 2025-01-01</x:v>
      </x:c>
      <x:c r="M50" s="60" t="str">
        <x:v>GO basic 2025-02-06</x:v>
      </x:c>
      <x:c r="N50" s="60" t="str"/>
      <x:c r="O50" s="60" t="str">
        <x:v>release_records</x:v>
      </x:c>
      <x:c r="P50" s="60" t="str">
        <x:v>explicit_only</x:v>
      </x:c>
      <x:c r="Q50" s="60" t="str">
        <x:v>exclude</x:v>
      </x:c>
      <x:c r="R50" s="60" t="str">
        <x:v>exclude</x:v>
      </x:c>
      <x:c r="S50" s="60" t="str">
        <x:v>2026-07-22</x:v>
      </x:c>
      <x:c r="T50" s="60" t="str">
        <x:v>Only years with archived SGD phenotype files are in the primary cohort.</x:v>
      </x:c>
      <x:c r="U50" s="60" t="str">
        <x:v>Available</x:v>
      </x:c>
      <x:c r="V50" s="60" t="str"/>
    </x:row>
    <x:row r="51">
      <x:c r="A51" s="60" t="str">
        <x:v>optional</x:v>
      </x:c>
      <x:c r="B51" s="60" t="str">
        <x:v>annotation_anchor</x:v>
      </x:c>
      <x:c r="C51" s="60" t="str">
        <x:v>fish</x:v>
      </x:c>
      <x:c r="D51" s="60" t="n">
        <x:v>2010</x:v>
      </x:c>
      <x:c r="E51" s="60" t="str">
        <x:v>fish-2010-fixed2025</x:v>
      </x:c>
      <x:c r="F51" s="60" t="str"/>
      <x:c r="G51" s="60" t="str"/>
      <x:c r="H51" s="60" t="str">
        <x:v>data/fish/gene_association/go_archive/2010/zfin.gaf.gz</x:v>
      </x:c>
      <x:c r="I51" s="60" t="str">
        <x:v>data/go/2010/go_2010-01-01.obo.gz</x:v>
      </x:c>
      <x:c r="J51" s="60" t="str"/>
      <x:c r="K51" s="60" t="str">
        <x:v>Fixed 2025 PhenGO labels</x:v>
      </x:c>
      <x:c r="L51" s="60" t="str">
        <x:v>GO release 2010-01-01</x:v>
      </x:c>
      <x:c r="M51" s="60" t="str">
        <x:v>GO full ontology 2010-01-01</x:v>
      </x:c>
      <x:c r="N51" s="60" t="str"/>
      <x:c r="O51" s="60" t="str">
        <x:v>gene_sets</x:v>
      </x:c>
      <x:c r="P51" s="60" t="str">
        <x:v>explicit_only</x:v>
      </x:c>
      <x:c r="Q51" s="60" t="str">
        <x:v>exclude</x:v>
      </x:c>
      <x:c r="R51" s="60" t="str">
        <x:v>exclude</x:v>
      </x:c>
      <x:c r="S51" s="60" t="str">
        <x:v>2026-07-22</x:v>
      </x:c>
      <x:c r="T51" s="60" t="str">
        <x:v>Fixed-label is_a anchor; no simplified GO ontology was released for 2010.</x:v>
      </x:c>
      <x:c r="U51" s="60" t="str">
        <x:v>Available</x:v>
      </x:c>
      <x:c r="V51" s="60" t="str"/>
    </x:row>
    <x:row r="52">
      <x:c r="A52" s="60" t="str">
        <x:v>optional</x:v>
      </x:c>
      <x:c r="B52" s="60" t="str">
        <x:v>annotation_anchor</x:v>
      </x:c>
      <x:c r="C52" s="60" t="str">
        <x:v>fly</x:v>
      </x:c>
      <x:c r="D52" s="60" t="n">
        <x:v>2010</x:v>
      </x:c>
      <x:c r="E52" s="60" t="str">
        <x:v>fly-2010-fixed2025</x:v>
      </x:c>
      <x:c r="F52" s="60" t="str"/>
      <x:c r="G52" s="60" t="str"/>
      <x:c r="H52" s="60" t="str">
        <x:v>data/fly/gene_association/go_archive/2010/fb.gaf.gz</x:v>
      </x:c>
      <x:c r="I52" s="60" t="str">
        <x:v>data/go/2010/go_2010-01-01.obo.gz</x:v>
      </x:c>
      <x:c r="J52" s="60" t="str"/>
      <x:c r="K52" s="60" t="str">
        <x:v>Fixed 2025 PhenGO labels</x:v>
      </x:c>
      <x:c r="L52" s="60" t="str">
        <x:v>GO release 2010-01-01</x:v>
      </x:c>
      <x:c r="M52" s="60" t="str">
        <x:v>GO full ontology 2010-01-01</x:v>
      </x:c>
      <x:c r="N52" s="60" t="str">
        <x:v>FlyBase derived from GO 2010 GAF</x:v>
      </x:c>
      <x:c r="O52" s="60" t="str">
        <x:v>gene_sets</x:v>
      </x:c>
      <x:c r="P52" s="60" t="str">
        <x:v>explicit_only</x:v>
      </x:c>
      <x:c r="Q52" s="60" t="str">
        <x:v>exclude</x:v>
      </x:c>
      <x:c r="R52" s="60" t="str">
        <x:v>exclude</x:v>
      </x:c>
      <x:c r="S52" s="60" t="str">
        <x:v>2026-07-22</x:v>
      </x:c>
      <x:c r="T52" s="60" t="str">
        <x:v>Fixed-label is_a anchor; no simplified GO ontology was released for 2010.</x:v>
      </x:c>
      <x:c r="U52" s="60" t="str">
        <x:v>Available</x:v>
      </x:c>
      <x:c r="V52" s="60" t="str"/>
    </x:row>
    <x:row r="53">
      <x:c r="A53" s="60" t="str">
        <x:v>optional</x:v>
      </x:c>
      <x:c r="B53" s="60" t="str">
        <x:v>annotation_anchor</x:v>
      </x:c>
      <x:c r="C53" s="60" t="str">
        <x:v>mouse</x:v>
      </x:c>
      <x:c r="D53" s="60" t="n">
        <x:v>2010</x:v>
      </x:c>
      <x:c r="E53" s="60" t="str">
        <x:v>mouse-2010-fixed2025</x:v>
      </x:c>
      <x:c r="F53" s="60" t="str"/>
      <x:c r="G53" s="60" t="str"/>
      <x:c r="H53" s="60" t="str">
        <x:v>data/mouse/gene_association/go_archive/2010/mgi.gaf.gz</x:v>
      </x:c>
      <x:c r="I53" s="60" t="str">
        <x:v>data/go/2010/go_2010-01-01.obo.gz</x:v>
      </x:c>
      <x:c r="J53" s="60" t="str"/>
      <x:c r="K53" s="60" t="str">
        <x:v>Fixed 2025 PhenGO labels</x:v>
      </x:c>
      <x:c r="L53" s="60" t="str">
        <x:v>GO release 2010-01-01</x:v>
      </x:c>
      <x:c r="M53" s="60" t="str">
        <x:v>GO full ontology 2010-01-01</x:v>
      </x:c>
      <x:c r="N53" s="60" t="str"/>
      <x:c r="O53" s="60" t="str">
        <x:v>gene_sets</x:v>
      </x:c>
      <x:c r="P53" s="60" t="str">
        <x:v>explicit_only</x:v>
      </x:c>
      <x:c r="Q53" s="60" t="str">
        <x:v>exclude</x:v>
      </x:c>
      <x:c r="R53" s="60" t="str">
        <x:v>exclude</x:v>
      </x:c>
      <x:c r="S53" s="60" t="str">
        <x:v>2026-07-22</x:v>
      </x:c>
      <x:c r="T53" s="60" t="str">
        <x:v>Fixed-label is_a anchor; no simplified GO ontology was released for 2010.</x:v>
      </x:c>
      <x:c r="U53" s="60" t="str">
        <x:v>Available</x:v>
      </x:c>
      <x:c r="V53" s="60" t="str"/>
    </x:row>
    <x:row r="54">
      <x:c r="A54" s="60" t="str">
        <x:v>optional</x:v>
      </x:c>
      <x:c r="B54" s="60" t="str">
        <x:v>annotation_anchor</x:v>
      </x:c>
      <x:c r="C54" s="60" t="str">
        <x:v>worm</x:v>
      </x:c>
      <x:c r="D54" s="60" t="n">
        <x:v>2010</x:v>
      </x:c>
      <x:c r="E54" s="60" t="str">
        <x:v>worm-2010-fixed2025</x:v>
      </x:c>
      <x:c r="F54" s="60" t="str"/>
      <x:c r="G54" s="60" t="str"/>
      <x:c r="H54" s="60" t="str">
        <x:v>data/worm/gene_association/go_archive/2010/wb.gaf.gz</x:v>
      </x:c>
      <x:c r="I54" s="60" t="str">
        <x:v>data/go/2010/go_2010-01-01.obo.gz</x:v>
      </x:c>
      <x:c r="J54" s="60" t="str"/>
      <x:c r="K54" s="60" t="str">
        <x:v>Fixed 2025 PhenGO labels</x:v>
      </x:c>
      <x:c r="L54" s="60" t="str">
        <x:v>GO release 2010-01-01</x:v>
      </x:c>
      <x:c r="M54" s="60" t="str">
        <x:v>GO full ontology 2010-01-01</x:v>
      </x:c>
      <x:c r="N54" s="60" t="str"/>
      <x:c r="O54" s="60" t="str">
        <x:v>gene_sets</x:v>
      </x:c>
      <x:c r="P54" s="60" t="str">
        <x:v>explicit_only</x:v>
      </x:c>
      <x:c r="Q54" s="60" t="str">
        <x:v>exclude</x:v>
      </x:c>
      <x:c r="R54" s="60" t="str">
        <x:v>exclude</x:v>
      </x:c>
      <x:c r="S54" s="60" t="str">
        <x:v>2026-07-22</x:v>
      </x:c>
      <x:c r="T54" s="60" t="str">
        <x:v>Fixed-label is_a anchor; no simplified GO ontology was released for 2010.</x:v>
      </x:c>
      <x:c r="U54" s="60" t="str">
        <x:v>Available</x:v>
      </x:c>
      <x:c r="V54" s="60" t="str"/>
    </x:row>
    <x:row r="55">
      <x:c r="A55" s="60" t="str">
        <x:v>optional</x:v>
      </x:c>
      <x:c r="B55" s="60" t="str">
        <x:v>annotation_anchor</x:v>
      </x:c>
      <x:c r="C55" s="60" t="str">
        <x:v>yeast</x:v>
      </x:c>
      <x:c r="D55" s="60" t="n">
        <x:v>2010</x:v>
      </x:c>
      <x:c r="E55" s="60" t="str">
        <x:v>yeast-2010-fixed2025</x:v>
      </x:c>
      <x:c r="F55" s="60" t="str"/>
      <x:c r="G55" s="60" t="str"/>
      <x:c r="H55" s="60" t="str">
        <x:v>data/yeast/gene_association/go_archive/2010/sgd.gaf.gz</x:v>
      </x:c>
      <x:c r="I55" s="60" t="str">
        <x:v>data/go/2010/go_2010-01-01.obo.gz</x:v>
      </x:c>
      <x:c r="J55" s="60" t="str"/>
      <x:c r="K55" s="60" t="str">
        <x:v>Fixed 2025 PhenGO labels</x:v>
      </x:c>
      <x:c r="L55" s="60" t="str">
        <x:v>GO release 2010-01-01</x:v>
      </x:c>
      <x:c r="M55" s="60" t="str">
        <x:v>GO full ontology 2010-01-01</x:v>
      </x:c>
      <x:c r="N55" s="60" t="str"/>
      <x:c r="O55" s="60" t="str">
        <x:v>gene_sets</x:v>
      </x:c>
      <x:c r="P55" s="60" t="str">
        <x:v>explicit_only</x:v>
      </x:c>
      <x:c r="Q55" s="60" t="str">
        <x:v>exclude</x:v>
      </x:c>
      <x:c r="R55" s="60" t="str">
        <x:v>exclude</x:v>
      </x:c>
      <x:c r="S55" s="60" t="str">
        <x:v>2026-07-22</x:v>
      </x:c>
      <x:c r="T55" s="60" t="str">
        <x:v>Fixed-label is_a anchor; no simplified GO ontology was released for 2010.</x:v>
      </x:c>
      <x:c r="U55" s="60" t="str">
        <x:v>Available</x:v>
      </x:c>
      <x:c r="V55" s="60" t="str"/>
    </x:row>
    <x:row r="56">
      <x:c r="A56" s="60" t="str">
        <x:v>optional</x:v>
      </x:c>
      <x:c r="B56" s="60" t="str">
        <x:v>annotation_anchor</x:v>
      </x:c>
      <x:c r="C56" s="60" t="str">
        <x:v>fish</x:v>
      </x:c>
      <x:c r="D56" s="60" t="n">
        <x:v>2011</x:v>
      </x:c>
      <x:c r="E56" s="60" t="str">
        <x:v>fish-2011-fixed2025</x:v>
      </x:c>
      <x:c r="F56" s="60" t="str"/>
      <x:c r="G56" s="60" t="str"/>
      <x:c r="H56" s="60" t="str">
        <x:v>data/fish/gene_association/go_archive/2011/zfin.gaf.gz</x:v>
      </x:c>
      <x:c r="I56" s="60" t="str">
        <x:v>data/go/2011/go_2011-01-01.obo.gz</x:v>
      </x:c>
      <x:c r="J56" s="60" t="str"/>
      <x:c r="K56" s="60" t="str">
        <x:v>Fixed 2025 PhenGO labels</x:v>
      </x:c>
      <x:c r="L56" s="60" t="str">
        <x:v>GO release 2011-01-01</x:v>
      </x:c>
      <x:c r="M56" s="60" t="str">
        <x:v>GO full ontology 2011-01-01</x:v>
      </x:c>
      <x:c r="N56" s="60" t="str"/>
      <x:c r="O56" s="60" t="str">
        <x:v>gene_sets</x:v>
      </x:c>
      <x:c r="P56" s="60" t="str">
        <x:v>explicit_only</x:v>
      </x:c>
      <x:c r="Q56" s="60" t="str">
        <x:v>exclude</x:v>
      </x:c>
      <x:c r="R56" s="60" t="str">
        <x:v>exclude</x:v>
      </x:c>
      <x:c r="S56" s="60" t="str">
        <x:v>2026-07-22</x:v>
      </x:c>
      <x:c r="T56" s="60" t="str">
        <x:v>Fixed-label is_a anchor; no simplified GO ontology was released for 2011.</x:v>
      </x:c>
      <x:c r="U56" s="60" t="str">
        <x:v>Available</x:v>
      </x:c>
      <x:c r="V56" s="60" t="str"/>
    </x:row>
    <x:row r="57">
      <x:c r="A57" s="60" t="str">
        <x:v>optional</x:v>
      </x:c>
      <x:c r="B57" s="60" t="str">
        <x:v>annotation_anchor</x:v>
      </x:c>
      <x:c r="C57" s="60" t="str">
        <x:v>fly</x:v>
      </x:c>
      <x:c r="D57" s="60" t="n">
        <x:v>2011</x:v>
      </x:c>
      <x:c r="E57" s="60" t="str">
        <x:v>fly-2011-fixed2025</x:v>
      </x:c>
      <x:c r="F57" s="60" t="str"/>
      <x:c r="G57" s="60" t="str"/>
      <x:c r="H57" s="60" t="str">
        <x:v>data/fly/gene_association/go_archive/2011/fb.gaf.gz</x:v>
      </x:c>
      <x:c r="I57" s="60" t="str">
        <x:v>data/go/2011/go_2011-01-01.obo.gz</x:v>
      </x:c>
      <x:c r="J57" s="60" t="str"/>
      <x:c r="K57" s="60" t="str">
        <x:v>Fixed 2025 PhenGO labels</x:v>
      </x:c>
      <x:c r="L57" s="60" t="str">
        <x:v>GO release 2011-01-01</x:v>
      </x:c>
      <x:c r="M57" s="60" t="str">
        <x:v>GO full ontology 2011-01-01</x:v>
      </x:c>
      <x:c r="N57" s="60" t="str">
        <x:v>FlyBase derived from GO 2011 GAF</x:v>
      </x:c>
      <x:c r="O57" s="60" t="str">
        <x:v>gene_sets</x:v>
      </x:c>
      <x:c r="P57" s="60" t="str">
        <x:v>explicit_only</x:v>
      </x:c>
      <x:c r="Q57" s="60" t="str">
        <x:v>exclude</x:v>
      </x:c>
      <x:c r="R57" s="60" t="str">
        <x:v>exclude</x:v>
      </x:c>
      <x:c r="S57" s="60" t="str">
        <x:v>2026-07-22</x:v>
      </x:c>
      <x:c r="T57" s="60" t="str">
        <x:v>Fixed-label is_a anchor; no simplified GO ontology was released for 2011.</x:v>
      </x:c>
      <x:c r="U57" s="60" t="str">
        <x:v>Available</x:v>
      </x:c>
      <x:c r="V57" s="60" t="str"/>
    </x:row>
    <x:row r="58">
      <x:c r="A58" s="60" t="str">
        <x:v>optional</x:v>
      </x:c>
      <x:c r="B58" s="60" t="str">
        <x:v>annotation_anchor</x:v>
      </x:c>
      <x:c r="C58" s="60" t="str">
        <x:v>mouse</x:v>
      </x:c>
      <x:c r="D58" s="60" t="n">
        <x:v>2011</x:v>
      </x:c>
      <x:c r="E58" s="60" t="str">
        <x:v>mouse-2011-fixed2025</x:v>
      </x:c>
      <x:c r="F58" s="60" t="str"/>
      <x:c r="G58" s="60" t="str"/>
      <x:c r="H58" s="60" t="str">
        <x:v>data/mouse/gene_association/go_archive/2011/mgi.gaf.gz</x:v>
      </x:c>
      <x:c r="I58" s="60" t="str">
        <x:v>data/go/2011/go_2011-01-01.obo.gz</x:v>
      </x:c>
      <x:c r="J58" s="60" t="str"/>
      <x:c r="K58" s="60" t="str">
        <x:v>Fixed 2025 PhenGO labels</x:v>
      </x:c>
      <x:c r="L58" s="60" t="str">
        <x:v>GO release 2011-01-01</x:v>
      </x:c>
      <x:c r="M58" s="60" t="str">
        <x:v>GO full ontology 2011-01-01</x:v>
      </x:c>
      <x:c r="N58" s="60" t="str"/>
      <x:c r="O58" s="60" t="str">
        <x:v>gene_sets</x:v>
      </x:c>
      <x:c r="P58" s="60" t="str">
        <x:v>explicit_only</x:v>
      </x:c>
      <x:c r="Q58" s="60" t="str">
        <x:v>exclude</x:v>
      </x:c>
      <x:c r="R58" s="60" t="str">
        <x:v>exclude</x:v>
      </x:c>
      <x:c r="S58" s="60" t="str">
        <x:v>2026-07-22</x:v>
      </x:c>
      <x:c r="T58" s="60" t="str">
        <x:v>Fixed-label is_a anchor; no simplified GO ontology was released for 2011.</x:v>
      </x:c>
      <x:c r="U58" s="60" t="str">
        <x:v>Available</x:v>
      </x:c>
      <x:c r="V58" s="60" t="str"/>
    </x:row>
    <x:row r="59">
      <x:c r="A59" s="60" t="str">
        <x:v>optional</x:v>
      </x:c>
      <x:c r="B59" s="60" t="str">
        <x:v>annotation_anchor</x:v>
      </x:c>
      <x:c r="C59" s="60" t="str">
        <x:v>worm</x:v>
      </x:c>
      <x:c r="D59" s="60" t="n">
        <x:v>2011</x:v>
      </x:c>
      <x:c r="E59" s="60" t="str">
        <x:v>worm-2011-fixed2025</x:v>
      </x:c>
      <x:c r="F59" s="60" t="str"/>
      <x:c r="G59" s="60" t="str"/>
      <x:c r="H59" s="60" t="str">
        <x:v>data/worm/gene_association/go_archive/2011/wb.gaf.gz</x:v>
      </x:c>
      <x:c r="I59" s="60" t="str">
        <x:v>data/go/2011/go_2011-01-01.obo.gz</x:v>
      </x:c>
      <x:c r="J59" s="60" t="str"/>
      <x:c r="K59" s="60" t="str">
        <x:v>Fixed 2025 PhenGO labels</x:v>
      </x:c>
      <x:c r="L59" s="60" t="str">
        <x:v>GO release 2011-01-01</x:v>
      </x:c>
      <x:c r="M59" s="60" t="str">
        <x:v>GO full ontology 2011-01-01</x:v>
      </x:c>
      <x:c r="N59" s="60" t="str"/>
      <x:c r="O59" s="60" t="str">
        <x:v>gene_sets</x:v>
      </x:c>
      <x:c r="P59" s="60" t="str">
        <x:v>explicit_only</x:v>
      </x:c>
      <x:c r="Q59" s="60" t="str">
        <x:v>exclude</x:v>
      </x:c>
      <x:c r="R59" s="60" t="str">
        <x:v>exclude</x:v>
      </x:c>
      <x:c r="S59" s="60" t="str">
        <x:v>2026-07-22</x:v>
      </x:c>
      <x:c r="T59" s="60" t="str">
        <x:v>Fixed-label is_a anchor; no simplified GO ontology was released for 2011.</x:v>
      </x:c>
      <x:c r="U59" s="60" t="str">
        <x:v>Available</x:v>
      </x:c>
      <x:c r="V59" s="60" t="str"/>
    </x:row>
    <x:row r="60">
      <x:c r="A60" s="60" t="str">
        <x:v>optional</x:v>
      </x:c>
      <x:c r="B60" s="60" t="str">
        <x:v>annotation_anchor</x:v>
      </x:c>
      <x:c r="C60" s="60" t="str">
        <x:v>yeast</x:v>
      </x:c>
      <x:c r="D60" s="60" t="n">
        <x:v>2011</x:v>
      </x:c>
      <x:c r="E60" s="60" t="str">
        <x:v>yeast-2011-fixed2025</x:v>
      </x:c>
      <x:c r="F60" s="60" t="str"/>
      <x:c r="G60" s="60" t="str"/>
      <x:c r="H60" s="60" t="str">
        <x:v>data/yeast/gene_association/go_archive/2011/sgd.gaf.gz</x:v>
      </x:c>
      <x:c r="I60" s="60" t="str">
        <x:v>data/go/2011/go_2011-01-01.obo.gz</x:v>
      </x:c>
      <x:c r="J60" s="60" t="str"/>
      <x:c r="K60" s="60" t="str">
        <x:v>Fixed 2025 PhenGO labels</x:v>
      </x:c>
      <x:c r="L60" s="60" t="str">
        <x:v>GO release 2011-01-01</x:v>
      </x:c>
      <x:c r="M60" s="60" t="str">
        <x:v>GO full ontology 2011-01-01</x:v>
      </x:c>
      <x:c r="N60" s="60" t="str"/>
      <x:c r="O60" s="60" t="str">
        <x:v>gene_sets</x:v>
      </x:c>
      <x:c r="P60" s="60" t="str">
        <x:v>explicit_only</x:v>
      </x:c>
      <x:c r="Q60" s="60" t="str">
        <x:v>exclude</x:v>
      </x:c>
      <x:c r="R60" s="60" t="str">
        <x:v>exclude</x:v>
      </x:c>
      <x:c r="S60" s="60" t="str">
        <x:v>2026-07-22</x:v>
      </x:c>
      <x:c r="T60" s="60" t="str">
        <x:v>Fixed-label is_a anchor; no simplified GO ontology was released for 2011.</x:v>
      </x:c>
      <x:c r="U60" s="60" t="str">
        <x:v>Available</x:v>
      </x:c>
      <x:c r="V60" s="60" t="str"/>
    </x:row>
    <x:row r="61">
      <x:c r="A61" s="60" t="str">
        <x:v>optional</x:v>
      </x:c>
      <x:c r="B61" s="60" t="str">
        <x:v>annotation_anchor</x:v>
      </x:c>
      <x:c r="C61" s="60" t="str">
        <x:v>fish</x:v>
      </x:c>
      <x:c r="D61" s="60" t="n">
        <x:v>2012</x:v>
      </x:c>
      <x:c r="E61" s="60" t="str">
        <x:v>fish-2012-fixed2025</x:v>
      </x:c>
      <x:c r="F61" s="60" t="str"/>
      <x:c r="G61" s="60" t="str"/>
      <x:c r="H61" s="60" t="str">
        <x:v>data/fish/gene_association/go_archive/2012/zfin.gaf.gz</x:v>
      </x:c>
      <x:c r="I61" s="60" t="str">
        <x:v>data/go/2012/go_2012-01-01.obo.gz</x:v>
      </x:c>
      <x:c r="J61" s="60" t="str"/>
      <x:c r="K61" s="60" t="str">
        <x:v>Fixed 2025 PhenGO labels</x:v>
      </x:c>
      <x:c r="L61" s="60" t="str">
        <x:v>GO release 2012-01-01</x:v>
      </x:c>
      <x:c r="M61" s="60" t="str">
        <x:v>GO full ontology 2012-01-01</x:v>
      </x:c>
      <x:c r="N61" s="60" t="str"/>
      <x:c r="O61" s="60" t="str">
        <x:v>gene_sets</x:v>
      </x:c>
      <x:c r="P61" s="60" t="str">
        <x:v>explicit_only</x:v>
      </x:c>
      <x:c r="Q61" s="60" t="str">
        <x:v>exclude</x:v>
      </x:c>
      <x:c r="R61" s="60" t="str">
        <x:v>exclude</x:v>
      </x:c>
      <x:c r="S61" s="60" t="str">
        <x:v>2026-07-22</x:v>
      </x:c>
      <x:c r="T61" s="60" t="str">
        <x:v>Fixed-label is_a anchor; no simplified GO ontology was released for 2012.</x:v>
      </x:c>
      <x:c r="U61" s="60" t="str">
        <x:v>Available</x:v>
      </x:c>
      <x:c r="V61" s="60" t="str"/>
    </x:row>
    <x:row r="62">
      <x:c r="A62" s="60" t="str">
        <x:v>optional</x:v>
      </x:c>
      <x:c r="B62" s="60" t="str">
        <x:v>annotation_anchor</x:v>
      </x:c>
      <x:c r="C62" s="60" t="str">
        <x:v>fly</x:v>
      </x:c>
      <x:c r="D62" s="60" t="n">
        <x:v>2012</x:v>
      </x:c>
      <x:c r="E62" s="60" t="str">
        <x:v>fly-2012-fixed2025</x:v>
      </x:c>
      <x:c r="F62" s="60" t="str"/>
      <x:c r="G62" s="60" t="str"/>
      <x:c r="H62" s="60" t="str">
        <x:v>data/fly/gene_association/go_archive/2012/fb.gaf.gz</x:v>
      </x:c>
      <x:c r="I62" s="60" t="str">
        <x:v>data/go/2012/go_2012-01-01.obo.gz</x:v>
      </x:c>
      <x:c r="J62" s="60" t="str"/>
      <x:c r="K62" s="60" t="str">
        <x:v>Fixed 2025 PhenGO labels</x:v>
      </x:c>
      <x:c r="L62" s="60" t="str">
        <x:v>GO release 2012-01-01</x:v>
      </x:c>
      <x:c r="M62" s="60" t="str">
        <x:v>GO full ontology 2012-01-01</x:v>
      </x:c>
      <x:c r="N62" s="60" t="str">
        <x:v>FlyBase derived from GO 2012 GAF</x:v>
      </x:c>
      <x:c r="O62" s="60" t="str">
        <x:v>gene_sets</x:v>
      </x:c>
      <x:c r="P62" s="60" t="str">
        <x:v>explicit_only</x:v>
      </x:c>
      <x:c r="Q62" s="60" t="str">
        <x:v>exclude</x:v>
      </x:c>
      <x:c r="R62" s="60" t="str">
        <x:v>exclude</x:v>
      </x:c>
      <x:c r="S62" s="60" t="str">
        <x:v>2026-07-22</x:v>
      </x:c>
      <x:c r="T62" s="60" t="str">
        <x:v>Fixed-label is_a anchor; no simplified GO ontology was released for 2012.</x:v>
      </x:c>
      <x:c r="U62" s="60" t="str">
        <x:v>Available</x:v>
      </x:c>
      <x:c r="V62" s="60" t="str"/>
    </x:row>
    <x:row r="63">
      <x:c r="A63" s="60" t="str">
        <x:v>optional</x:v>
      </x:c>
      <x:c r="B63" s="60" t="str">
        <x:v>annotation_anchor</x:v>
      </x:c>
      <x:c r="C63" s="60" t="str">
        <x:v>mouse</x:v>
      </x:c>
      <x:c r="D63" s="60" t="n">
        <x:v>2012</x:v>
      </x:c>
      <x:c r="E63" s="60" t="str">
        <x:v>mouse-2012-fixed2025</x:v>
      </x:c>
      <x:c r="F63" s="60" t="str"/>
      <x:c r="G63" s="60" t="str"/>
      <x:c r="H63" s="60" t="str">
        <x:v>data/mouse/gene_association/go_archive/2012/mgi.gaf.gz</x:v>
      </x:c>
      <x:c r="I63" s="60" t="str">
        <x:v>data/go/2012/go_2012-01-01.obo.gz</x:v>
      </x:c>
      <x:c r="J63" s="60" t="str"/>
      <x:c r="K63" s="60" t="str">
        <x:v>Fixed 2025 PhenGO labels</x:v>
      </x:c>
      <x:c r="L63" s="60" t="str">
        <x:v>GO release 2012-01-01</x:v>
      </x:c>
      <x:c r="M63" s="60" t="str">
        <x:v>GO full ontology 2012-01-01</x:v>
      </x:c>
      <x:c r="N63" s="60" t="str"/>
      <x:c r="O63" s="60" t="str">
        <x:v>gene_sets</x:v>
      </x:c>
      <x:c r="P63" s="60" t="str">
        <x:v>explicit_only</x:v>
      </x:c>
      <x:c r="Q63" s="60" t="str">
        <x:v>exclude</x:v>
      </x:c>
      <x:c r="R63" s="60" t="str">
        <x:v>exclude</x:v>
      </x:c>
      <x:c r="S63" s="60" t="str">
        <x:v>2026-07-22</x:v>
      </x:c>
      <x:c r="T63" s="60" t="str">
        <x:v>Fixed-label is_a anchor; no simplified GO ontology was released for 2012.</x:v>
      </x:c>
      <x:c r="U63" s="60" t="str">
        <x:v>Available</x:v>
      </x:c>
      <x:c r="V63" s="60" t="str"/>
    </x:row>
    <x:row r="64">
      <x:c r="A64" s="60" t="str">
        <x:v>optional</x:v>
      </x:c>
      <x:c r="B64" s="60" t="str">
        <x:v>annotation_anchor</x:v>
      </x:c>
      <x:c r="C64" s="60" t="str">
        <x:v>worm</x:v>
      </x:c>
      <x:c r="D64" s="60" t="n">
        <x:v>2012</x:v>
      </x:c>
      <x:c r="E64" s="60" t="str">
        <x:v>worm-2012-fixed2025</x:v>
      </x:c>
      <x:c r="F64" s="60" t="str"/>
      <x:c r="G64" s="60" t="str"/>
      <x:c r="H64" s="60" t="str">
        <x:v>data/worm/gene_association/go_archive/2012/wb.gaf.gz</x:v>
      </x:c>
      <x:c r="I64" s="60" t="str">
        <x:v>data/go/2012/go_2012-01-01.obo.gz</x:v>
      </x:c>
      <x:c r="J64" s="60" t="str"/>
      <x:c r="K64" s="60" t="str">
        <x:v>Fixed 2025 PhenGO labels</x:v>
      </x:c>
      <x:c r="L64" s="60" t="str">
        <x:v>GO release 2012-01-01</x:v>
      </x:c>
      <x:c r="M64" s="60" t="str">
        <x:v>GO full ontology 2012-01-01</x:v>
      </x:c>
      <x:c r="N64" s="60" t="str"/>
      <x:c r="O64" s="60" t="str">
        <x:v>gene_sets</x:v>
      </x:c>
      <x:c r="P64" s="60" t="str">
        <x:v>explicit_only</x:v>
      </x:c>
      <x:c r="Q64" s="60" t="str">
        <x:v>exclude</x:v>
      </x:c>
      <x:c r="R64" s="60" t="str">
        <x:v>exclude</x:v>
      </x:c>
      <x:c r="S64" s="60" t="str">
        <x:v>2026-07-22</x:v>
      </x:c>
      <x:c r="T64" s="60" t="str">
        <x:v>Fixed-label is_a anchor; no simplified GO ontology was released for 2012.</x:v>
      </x:c>
      <x:c r="U64" s="60" t="str">
        <x:v>Available</x:v>
      </x:c>
      <x:c r="V64" s="60" t="str"/>
    </x:row>
    <x:row r="65">
      <x:c r="A65" s="60" t="str">
        <x:v>optional</x:v>
      </x:c>
      <x:c r="B65" s="60" t="str">
        <x:v>annotation_anchor</x:v>
      </x:c>
      <x:c r="C65" s="60" t="str">
        <x:v>yeast</x:v>
      </x:c>
      <x:c r="D65" s="60" t="n">
        <x:v>2012</x:v>
      </x:c>
      <x:c r="E65" s="60" t="str">
        <x:v>yeast-2012-fixed2025</x:v>
      </x:c>
      <x:c r="F65" s="60" t="str"/>
      <x:c r="G65" s="60" t="str"/>
      <x:c r="H65" s="60" t="str">
        <x:v>data/yeast/gene_association/go_archive/2012/sgd.gaf.gz</x:v>
      </x:c>
      <x:c r="I65" s="60" t="str">
        <x:v>data/go/2012/go_2012-01-01.obo.gz</x:v>
      </x:c>
      <x:c r="J65" s="60" t="str"/>
      <x:c r="K65" s="60" t="str">
        <x:v>Fixed 2025 PhenGO labels</x:v>
      </x:c>
      <x:c r="L65" s="60" t="str">
        <x:v>GO release 2012-01-01</x:v>
      </x:c>
      <x:c r="M65" s="60" t="str">
        <x:v>GO full ontology 2012-01-01</x:v>
      </x:c>
      <x:c r="N65" s="60" t="str"/>
      <x:c r="O65" s="60" t="str">
        <x:v>gene_sets</x:v>
      </x:c>
      <x:c r="P65" s="60" t="str">
        <x:v>explicit_only</x:v>
      </x:c>
      <x:c r="Q65" s="60" t="str">
        <x:v>exclude</x:v>
      </x:c>
      <x:c r="R65" s="60" t="str">
        <x:v>exclude</x:v>
      </x:c>
      <x:c r="S65" s="60" t="str">
        <x:v>2026-07-22</x:v>
      </x:c>
      <x:c r="T65" s="60" t="str">
        <x:v>Fixed-label is_a anchor; no simplified GO ontology was released for 2012.</x:v>
      </x:c>
      <x:c r="U65" s="60" t="str">
        <x:v>Available</x:v>
      </x:c>
      <x:c r="V65" s="60" t="str"/>
    </x:row>
    <x:row r="66">
      <x:c r="A66" s="60" t="str">
        <x:v>optional</x:v>
      </x:c>
      <x:c r="B66" s="60" t="str">
        <x:v>annotation_anchor</x:v>
      </x:c>
      <x:c r="C66" s="60" t="str">
        <x:v>fish</x:v>
      </x:c>
      <x:c r="D66" s="60" t="n">
        <x:v>2013</x:v>
      </x:c>
      <x:c r="E66" s="60" t="str">
        <x:v>fish-2013-fixed2025</x:v>
      </x:c>
      <x:c r="F66" s="60" t="str"/>
      <x:c r="G66" s="60" t="str"/>
      <x:c r="H66" s="60" t="str">
        <x:v>data/fish/gene_association/go_archive/2013/zfin.gaf.gz</x:v>
      </x:c>
      <x:c r="I66" s="60" t="str">
        <x:v>data/go/2013/go-simple_2013-01-01.obo.gz</x:v>
      </x:c>
      <x:c r="J66" s="60" t="str"/>
      <x:c r="K66" s="60" t="str">
        <x:v>Fixed 2025 PhenGO labels</x:v>
      </x:c>
      <x:c r="L66" s="60" t="str">
        <x:v>GO release 2013-01-01</x:v>
      </x:c>
      <x:c r="M66" s="60" t="str">
        <x:v>GO simple 2013-01-01</x:v>
      </x:c>
      <x:c r="N66" s="60" t="str"/>
      <x:c r="O66" s="60" t="str">
        <x:v>gene_sets</x:v>
      </x:c>
      <x:c r="P66" s="60" t="str">
        <x:v>explicit_only</x:v>
      </x:c>
      <x:c r="Q66" s="60" t="str">
        <x:v>exclude</x:v>
      </x:c>
      <x:c r="R66" s="60" t="str">
        <x:v>exclude</x:v>
      </x:c>
      <x:c r="S66" s="60" t="str">
        <x:v>2026-07-22</x:v>
      </x:c>
      <x:c r="T66" s="60" t="str">
        <x:v>First go-simple anchor; retained only in the fixed-label is_a series.</x:v>
      </x:c>
      <x:c r="U66" s="60" t="str">
        <x:v>Available</x:v>
      </x:c>
      <x:c r="V66" s="60" t="str"/>
    </x:row>
    <x:row r="67">
      <x:c r="A67" s="60" t="str">
        <x:v>optional</x:v>
      </x:c>
      <x:c r="B67" s="60" t="str">
        <x:v>annotation_anchor</x:v>
      </x:c>
      <x:c r="C67" s="60" t="str">
        <x:v>fly</x:v>
      </x:c>
      <x:c r="D67" s="60" t="n">
        <x:v>2013</x:v>
      </x:c>
      <x:c r="E67" s="60" t="str">
        <x:v>fly-2013-fixed2025</x:v>
      </x:c>
      <x:c r="F67" s="60" t="str"/>
      <x:c r="G67" s="60" t="str"/>
      <x:c r="H67" s="60" t="str">
        <x:v>data/fly/gene_association/go_archive/2013/fb.gaf.gz</x:v>
      </x:c>
      <x:c r="I67" s="60" t="str">
        <x:v>data/go/2013/go-simple_2013-01-01.obo.gz</x:v>
      </x:c>
      <x:c r="J67" s="60" t="str"/>
      <x:c r="K67" s="60" t="str">
        <x:v>Fixed 2025 PhenGO labels</x:v>
      </x:c>
      <x:c r="L67" s="60" t="str">
        <x:v>GO release 2013-01-01</x:v>
      </x:c>
      <x:c r="M67" s="60" t="str">
        <x:v>GO simple 2013-01-01</x:v>
      </x:c>
      <x:c r="N67" s="60" t="str">
        <x:v>FlyBase derived from GO 2013 GAF</x:v>
      </x:c>
      <x:c r="O67" s="60" t="str">
        <x:v>gene_sets</x:v>
      </x:c>
      <x:c r="P67" s="60" t="str">
        <x:v>explicit_only</x:v>
      </x:c>
      <x:c r="Q67" s="60" t="str">
        <x:v>exclude</x:v>
      </x:c>
      <x:c r="R67" s="60" t="str">
        <x:v>exclude</x:v>
      </x:c>
      <x:c r="S67" s="60" t="str">
        <x:v>2026-07-22</x:v>
      </x:c>
      <x:c r="T67" s="60" t="str">
        <x:v>First go-simple anchor; retained only in the fixed-label is_a series.</x:v>
      </x:c>
      <x:c r="U67" s="60" t="str">
        <x:v>Available</x:v>
      </x:c>
      <x:c r="V67" s="60" t="str"/>
    </x:row>
    <x:row r="68">
      <x:c r="A68" s="60" t="str">
        <x:v>optional</x:v>
      </x:c>
      <x:c r="B68" s="60" t="str">
        <x:v>annotation_anchor</x:v>
      </x:c>
      <x:c r="C68" s="60" t="str">
        <x:v>mouse</x:v>
      </x:c>
      <x:c r="D68" s="60" t="n">
        <x:v>2013</x:v>
      </x:c>
      <x:c r="E68" s="60" t="str">
        <x:v>mouse-2013-fixed2025</x:v>
      </x:c>
      <x:c r="F68" s="60" t="str"/>
      <x:c r="G68" s="60" t="str"/>
      <x:c r="H68" s="60" t="str">
        <x:v>data/mouse/gene_association/go_archive/2013/mgi.gaf.gz</x:v>
      </x:c>
      <x:c r="I68" s="60" t="str">
        <x:v>data/go/2013/go-simple_2013-01-01.obo.gz</x:v>
      </x:c>
      <x:c r="J68" s="60" t="str"/>
      <x:c r="K68" s="60" t="str">
        <x:v>Fixed 2025 PhenGO labels</x:v>
      </x:c>
      <x:c r="L68" s="60" t="str">
        <x:v>GO release 2013-01-01</x:v>
      </x:c>
      <x:c r="M68" s="60" t="str">
        <x:v>GO simple 2013-01-01</x:v>
      </x:c>
      <x:c r="N68" s="60" t="str"/>
      <x:c r="O68" s="60" t="str">
        <x:v>gene_sets</x:v>
      </x:c>
      <x:c r="P68" s="60" t="str">
        <x:v>explicit_only</x:v>
      </x:c>
      <x:c r="Q68" s="60" t="str">
        <x:v>exclude</x:v>
      </x:c>
      <x:c r="R68" s="60" t="str">
        <x:v>exclude</x:v>
      </x:c>
      <x:c r="S68" s="60" t="str">
        <x:v>2026-07-22</x:v>
      </x:c>
      <x:c r="T68" s="60" t="str">
        <x:v>First go-simple anchor; retained only in the fixed-label is_a series.</x:v>
      </x:c>
      <x:c r="U68" s="60" t="str">
        <x:v>Available</x:v>
      </x:c>
      <x:c r="V68" s="60" t="str"/>
    </x:row>
    <x:row r="69">
      <x:c r="A69" s="60" t="str">
        <x:v>optional</x:v>
      </x:c>
      <x:c r="B69" s="60" t="str">
        <x:v>annotation_anchor</x:v>
      </x:c>
      <x:c r="C69" s="60" t="str">
        <x:v>worm</x:v>
      </x:c>
      <x:c r="D69" s="60" t="n">
        <x:v>2013</x:v>
      </x:c>
      <x:c r="E69" s="60" t="str">
        <x:v>worm-2013-fixed2025</x:v>
      </x:c>
      <x:c r="F69" s="60" t="str"/>
      <x:c r="G69" s="60" t="str"/>
      <x:c r="H69" s="60" t="str">
        <x:v>data/worm/gene_association/go_archive/2013/wb.gaf.gz</x:v>
      </x:c>
      <x:c r="I69" s="60" t="str">
        <x:v>data/go/2013/go-simple_2013-01-01.obo.gz</x:v>
      </x:c>
      <x:c r="J69" s="60" t="str"/>
      <x:c r="K69" s="60" t="str">
        <x:v>Fixed 2025 PhenGO labels</x:v>
      </x:c>
      <x:c r="L69" s="60" t="str">
        <x:v>GO release 2013-01-01</x:v>
      </x:c>
      <x:c r="M69" s="60" t="str">
        <x:v>GO simple 2013-01-01</x:v>
      </x:c>
      <x:c r="N69" s="60" t="str"/>
      <x:c r="O69" s="60" t="str">
        <x:v>gene_sets</x:v>
      </x:c>
      <x:c r="P69" s="60" t="str">
        <x:v>explicit_only</x:v>
      </x:c>
      <x:c r="Q69" s="60" t="str">
        <x:v>exclude</x:v>
      </x:c>
      <x:c r="R69" s="60" t="str">
        <x:v>exclude</x:v>
      </x:c>
      <x:c r="S69" s="60" t="str">
        <x:v>2026-07-22</x:v>
      </x:c>
      <x:c r="T69" s="60" t="str">
        <x:v>First go-simple anchor; retained only in the fixed-label is_a series.</x:v>
      </x:c>
      <x:c r="U69" s="60" t="str">
        <x:v>Available</x:v>
      </x:c>
      <x:c r="V69" s="60" t="str"/>
    </x:row>
    <x:row r="70">
      <x:c r="A70" s="60" t="str">
        <x:v>optional</x:v>
      </x:c>
      <x:c r="B70" s="60" t="str">
        <x:v>annotation_anchor</x:v>
      </x:c>
      <x:c r="C70" s="60" t="str">
        <x:v>yeast</x:v>
      </x:c>
      <x:c r="D70" s="60" t="n">
        <x:v>2013</x:v>
      </x:c>
      <x:c r="E70" s="60" t="str">
        <x:v>yeast-2013-fixed2025</x:v>
      </x:c>
      <x:c r="F70" s="60" t="str"/>
      <x:c r="G70" s="60" t="str"/>
      <x:c r="H70" s="60" t="str">
        <x:v>data/yeast/gene_association/go_archive/2013/sgd.gaf.gz</x:v>
      </x:c>
      <x:c r="I70" s="60" t="str">
        <x:v>data/go/2013/go-simple_2013-01-01.obo.gz</x:v>
      </x:c>
      <x:c r="J70" s="60" t="str"/>
      <x:c r="K70" s="60" t="str">
        <x:v>Fixed 2025 PhenGO labels</x:v>
      </x:c>
      <x:c r="L70" s="60" t="str">
        <x:v>GO release 2013-01-01</x:v>
      </x:c>
      <x:c r="M70" s="60" t="str">
        <x:v>GO simple 2013-01-01</x:v>
      </x:c>
      <x:c r="N70" s="60" t="str"/>
      <x:c r="O70" s="60" t="str">
        <x:v>gene_sets</x:v>
      </x:c>
      <x:c r="P70" s="60" t="str">
        <x:v>explicit_only</x:v>
      </x:c>
      <x:c r="Q70" s="60" t="str">
        <x:v>exclude</x:v>
      </x:c>
      <x:c r="R70" s="60" t="str">
        <x:v>exclude</x:v>
      </x:c>
      <x:c r="S70" s="60" t="str">
        <x:v>2026-07-22</x:v>
      </x:c>
      <x:c r="T70" s="60" t="str">
        <x:v>First go-simple anchor; retained only in the fixed-label is_a series.</x:v>
      </x:c>
      <x:c r="U70" s="60" t="str">
        <x:v>Available</x:v>
      </x:c>
      <x:c r="V70" s="60" t="str"/>
    </x:row>
    <x:row r="71">
      <x:c r="A71" s="60" t="str">
        <x:v>optional</x:v>
      </x:c>
      <x:c r="B71" s="60" t="str">
        <x:v>annotation_anchor</x:v>
      </x:c>
      <x:c r="C71" s="60" t="str">
        <x:v>fish</x:v>
      </x:c>
      <x:c r="D71" s="60" t="n">
        <x:v>2014</x:v>
      </x:c>
      <x:c r="E71" s="60" t="str">
        <x:v>fish-2014-fixed2025</x:v>
      </x:c>
      <x:c r="F71" s="60" t="str"/>
      <x:c r="G71" s="60" t="str"/>
      <x:c r="H71" s="60" t="str">
        <x:v>data/fish/gene_association/go_archive/2014/zfin.gaf.gz</x:v>
      </x:c>
      <x:c r="I71" s="60" t="str">
        <x:v>data/go/2014/go-basic_2014-01-01.obo.gz</x:v>
      </x:c>
      <x:c r="J71" s="60" t="str"/>
      <x:c r="K71" s="60" t="str">
        <x:v>Fixed 2025 PhenGO labels</x:v>
      </x:c>
      <x:c r="L71" s="60" t="str">
        <x:v>GO release 2014-01-01</x:v>
      </x:c>
      <x:c r="M71" s="60" t="str">
        <x:v>GO basic 2014-01-01</x:v>
      </x:c>
      <x:c r="N71" s="60" t="str"/>
      <x:c r="O71" s="60" t="str">
        <x:v>gene_sets</x:v>
      </x:c>
      <x:c r="P71" s="60" t="str">
        <x:v>explicit_only</x:v>
      </x:c>
      <x:c r="Q71" s="60" t="str">
        <x:v>exclude</x:v>
      </x:c>
      <x:c r="R71" s="60" t="str">
        <x:v>exclude</x:v>
      </x:c>
      <x:c r="S71" s="60" t="str">
        <x:v>2026-07-22</x:v>
      </x:c>
      <x:c r="T71" s="60" t="str">
        <x:v>Optional fixed-label annotation-age anchor.</x:v>
      </x:c>
      <x:c r="U71" s="60" t="str">
        <x:v>Available</x:v>
      </x:c>
      <x:c r="V71" s="60" t="str"/>
    </x:row>
    <x:row r="72">
      <x:c r="A72" s="60" t="str">
        <x:v>optional</x:v>
      </x:c>
      <x:c r="B72" s="60" t="str">
        <x:v>annotation_anchor</x:v>
      </x:c>
      <x:c r="C72" s="60" t="str">
        <x:v>fly</x:v>
      </x:c>
      <x:c r="D72" s="60" t="n">
        <x:v>2014</x:v>
      </x:c>
      <x:c r="E72" s="60" t="str">
        <x:v>fly-2014-fixed2025</x:v>
      </x:c>
      <x:c r="F72" s="60" t="str"/>
      <x:c r="G72" s="60" t="str"/>
      <x:c r="H72" s="60" t="str">
        <x:v>data/fly/gene_association/go_archive/2014/fb.gaf.gz</x:v>
      </x:c>
      <x:c r="I72" s="60" t="str">
        <x:v>data/go/2014/go-basic_2014-01-01.obo.gz</x:v>
      </x:c>
      <x:c r="J72" s="60" t="str"/>
      <x:c r="K72" s="60" t="str">
        <x:v>Fixed 2025 PhenGO labels</x:v>
      </x:c>
      <x:c r="L72" s="60" t="str">
        <x:v>GO release 2014-01-01</x:v>
      </x:c>
      <x:c r="M72" s="60" t="str">
        <x:v>GO basic 2014-01-01</x:v>
      </x:c>
      <x:c r="N72" s="60" t="str">
        <x:v>FlyBase derived from GO 2014 GAF</x:v>
      </x:c>
      <x:c r="O72" s="60" t="str">
        <x:v>gene_sets</x:v>
      </x:c>
      <x:c r="P72" s="60" t="str">
        <x:v>explicit_only</x:v>
      </x:c>
      <x:c r="Q72" s="60" t="str">
        <x:v>exclude</x:v>
      </x:c>
      <x:c r="R72" s="60" t="str">
        <x:v>exclude</x:v>
      </x:c>
      <x:c r="S72" s="60" t="str">
        <x:v>2026-07-22</x:v>
      </x:c>
      <x:c r="T72" s="60" t="str">
        <x:v>Optional fixed-label annotation-age anchor.</x:v>
      </x:c>
      <x:c r="U72" s="60" t="str">
        <x:v>Available</x:v>
      </x:c>
      <x:c r="V72" s="60" t="str"/>
    </x:row>
    <x:row r="73">
      <x:c r="A73" s="60" t="str">
        <x:v>optional</x:v>
      </x:c>
      <x:c r="B73" s="60" t="str">
        <x:v>annotation_anchor</x:v>
      </x:c>
      <x:c r="C73" s="60" t="str">
        <x:v>mouse</x:v>
      </x:c>
      <x:c r="D73" s="60" t="n">
        <x:v>2014</x:v>
      </x:c>
      <x:c r="E73" s="60" t="str">
        <x:v>mouse-2014-fixed2025</x:v>
      </x:c>
      <x:c r="F73" s="60" t="str"/>
      <x:c r="G73" s="60" t="str"/>
      <x:c r="H73" s="60" t="str">
        <x:v>data/mouse/gene_association/go_archive/2014/mgi.gaf.gz</x:v>
      </x:c>
      <x:c r="I73" s="60" t="str">
        <x:v>data/go/2014/go-basic_2014-01-01.obo.gz</x:v>
      </x:c>
      <x:c r="J73" s="60" t="str"/>
      <x:c r="K73" s="60" t="str">
        <x:v>Fixed 2025 PhenGO labels</x:v>
      </x:c>
      <x:c r="L73" s="60" t="str">
        <x:v>GO release 2014-01-01</x:v>
      </x:c>
      <x:c r="M73" s="60" t="str">
        <x:v>GO basic 2014-01-01</x:v>
      </x:c>
      <x:c r="N73" s="60" t="str"/>
      <x:c r="O73" s="60" t="str">
        <x:v>gene_sets</x:v>
      </x:c>
      <x:c r="P73" s="60" t="str">
        <x:v>explicit_only</x:v>
      </x:c>
      <x:c r="Q73" s="60" t="str">
        <x:v>exclude</x:v>
      </x:c>
      <x:c r="R73" s="60" t="str">
        <x:v>exclude</x:v>
      </x:c>
      <x:c r="S73" s="60" t="str">
        <x:v>2026-07-22</x:v>
      </x:c>
      <x:c r="T73" s="60" t="str">
        <x:v>Optional fixed-label annotation-age anchor.</x:v>
      </x:c>
      <x:c r="U73" s="60" t="str">
        <x:v>Available</x:v>
      </x:c>
      <x:c r="V73" s="60" t="str"/>
    </x:row>
    <x:row r="74">
      <x:c r="A74" s="60" t="str">
        <x:v>optional</x:v>
      </x:c>
      <x:c r="B74" s="60" t="str">
        <x:v>annotation_anchor</x:v>
      </x:c>
      <x:c r="C74" s="60" t="str">
        <x:v>worm</x:v>
      </x:c>
      <x:c r="D74" s="60" t="n">
        <x:v>2014</x:v>
      </x:c>
      <x:c r="E74" s="60" t="str">
        <x:v>worm-2014-fixed2025</x:v>
      </x:c>
      <x:c r="F74" s="60" t="str"/>
      <x:c r="G74" s="60" t="str"/>
      <x:c r="H74" s="60" t="str">
        <x:v>data/worm/gene_association/go_archive/2014/wb.gaf.gz</x:v>
      </x:c>
      <x:c r="I74" s="60" t="str">
        <x:v>data/go/2014/go-basic_2014-01-01.obo.gz</x:v>
      </x:c>
      <x:c r="J74" s="60" t="str"/>
      <x:c r="K74" s="60" t="str">
        <x:v>Fixed 2025 PhenGO labels</x:v>
      </x:c>
      <x:c r="L74" s="60" t="str">
        <x:v>GO release 2014-01-01</x:v>
      </x:c>
      <x:c r="M74" s="60" t="str">
        <x:v>GO basic 2014-01-01</x:v>
      </x:c>
      <x:c r="N74" s="60" t="str"/>
      <x:c r="O74" s="60" t="str">
        <x:v>gene_sets</x:v>
      </x:c>
      <x:c r="P74" s="60" t="str">
        <x:v>explicit_only</x:v>
      </x:c>
      <x:c r="Q74" s="60" t="str">
        <x:v>exclude</x:v>
      </x:c>
      <x:c r="R74" s="60" t="str">
        <x:v>exclude</x:v>
      </x:c>
      <x:c r="S74" s="60" t="str">
        <x:v>2026-07-22</x:v>
      </x:c>
      <x:c r="T74" s="60" t="str">
        <x:v>Optional fixed-label annotation-age anchor.</x:v>
      </x:c>
      <x:c r="U74" s="60" t="str">
        <x:v>Available</x:v>
      </x:c>
      <x:c r="V74" s="60" t="str"/>
    </x:row>
    <x:row r="75">
      <x:c r="A75" s="60" t="str">
        <x:v>optional</x:v>
      </x:c>
      <x:c r="B75" s="60" t="str">
        <x:v>annotation_anchor</x:v>
      </x:c>
      <x:c r="C75" s="60" t="str">
        <x:v>yeast</x:v>
      </x:c>
      <x:c r="D75" s="60" t="n">
        <x:v>2014</x:v>
      </x:c>
      <x:c r="E75" s="60" t="str">
        <x:v>yeast-2014-fixed2025</x:v>
      </x:c>
      <x:c r="F75" s="60" t="str"/>
      <x:c r="G75" s="60" t="str"/>
      <x:c r="H75" s="60" t="str">
        <x:v>data/yeast/gene_association/go_archive/2014/sgd.gaf.gz</x:v>
      </x:c>
      <x:c r="I75" s="60" t="str">
        <x:v>data/go/2014/go-basic_2014-01-01.obo.gz</x:v>
      </x:c>
      <x:c r="J75" s="60" t="str"/>
      <x:c r="K75" s="60" t="str">
        <x:v>Fixed 2025 PhenGO labels</x:v>
      </x:c>
      <x:c r="L75" s="60" t="str">
        <x:v>GO release 2014-01-01</x:v>
      </x:c>
      <x:c r="M75" s="60" t="str">
        <x:v>GO basic 2014-01-01</x:v>
      </x:c>
      <x:c r="N75" s="60" t="str"/>
      <x:c r="O75" s="60" t="str">
        <x:v>gene_sets</x:v>
      </x:c>
      <x:c r="P75" s="60" t="str">
        <x:v>explicit_only</x:v>
      </x:c>
      <x:c r="Q75" s="60" t="str">
        <x:v>exclude</x:v>
      </x:c>
      <x:c r="R75" s="60" t="str">
        <x:v>exclude</x:v>
      </x:c>
      <x:c r="S75" s="60" t="str">
        <x:v>2026-07-22</x:v>
      </x:c>
      <x:c r="T75" s="60" t="str">
        <x:v>Optional fixed-label annotation-age anchor.</x:v>
      </x:c>
      <x:c r="U75" s="60" t="str">
        <x:v>Available</x:v>
      </x:c>
      <x:c r="V75" s="60" t="str"/>
    </x:row>
    <x:row r="76">
      <x:c r="A76" s="60" t="str">
        <x:v>optional</x:v>
      </x:c>
      <x:c r="B76" s="60" t="str">
        <x:v>annotation_anchor</x:v>
      </x:c>
      <x:c r="C76" s="60" t="str">
        <x:v>yeast</x:v>
      </x:c>
      <x:c r="D76" s="60" t="n">
        <x:v>2018</x:v>
      </x:c>
      <x:c r="E76" s="60" t="str">
        <x:v>yeast-2018-fixed2025</x:v>
      </x:c>
      <x:c r="F76" s="60" t="str"/>
      <x:c r="G76" s="60" t="str"/>
      <x:c r="H76" s="60" t="str">
        <x:v>data/yeast/gene_association/go_archive/2018/sgd.gaf.gz</x:v>
      </x:c>
      <x:c r="I76" s="60" t="str">
        <x:v>data/go/2018/go-basic_2018-01-01.obo.gz</x:v>
      </x:c>
      <x:c r="J76" s="60" t="str"/>
      <x:c r="K76" s="60" t="str">
        <x:v>Fixed 2025 PhenGO labels</x:v>
      </x:c>
      <x:c r="L76" s="60" t="str">
        <x:v>GO release 2018-01-01</x:v>
      </x:c>
      <x:c r="M76" s="60" t="str">
        <x:v>GO basic 2018-01-01</x:v>
      </x:c>
      <x:c r="N76" s="60" t="str"/>
      <x:c r="O76" s="60" t="str">
        <x:v>gene_sets</x:v>
      </x:c>
      <x:c r="P76" s="60" t="str">
        <x:v>explicit_only</x:v>
      </x:c>
      <x:c r="Q76" s="60" t="str">
        <x:v>exclude</x:v>
      </x:c>
      <x:c r="R76" s="60" t="str">
        <x:v>exclude</x:v>
      </x:c>
      <x:c r="S76" s="60" t="str">
        <x:v>2026-07-22</x:v>
      </x:c>
      <x:c r="T76" s="60" t="str">
        <x:v>Annotation-only year fills a missing SGD phenotype interval.</x:v>
      </x:c>
      <x:c r="U76" s="60" t="str">
        <x:v>Available</x:v>
      </x:c>
      <x:c r="V76" s="60" t="str"/>
    </x:row>
    <x:row r="77">
      <x:c r="A77" s="60" t="str">
        <x:v>optional</x:v>
      </x:c>
      <x:c r="B77" s="60" t="str">
        <x:v>annotation_anchor</x:v>
      </x:c>
      <x:c r="C77" s="60" t="str">
        <x:v>yeast</x:v>
      </x:c>
      <x:c r="D77" s="60" t="n">
        <x:v>2019</x:v>
      </x:c>
      <x:c r="E77" s="60" t="str">
        <x:v>yeast-2019-fixed2025</x:v>
      </x:c>
      <x:c r="F77" s="60" t="str"/>
      <x:c r="G77" s="60" t="str"/>
      <x:c r="H77" s="60" t="str">
        <x:v>data/yeast/gene_association/go_archive/2019/sgd.gaf.gz</x:v>
      </x:c>
      <x:c r="I77" s="60" t="str">
        <x:v>data/go/2019/go-basic_2019-01-01.obo.gz</x:v>
      </x:c>
      <x:c r="J77" s="60" t="str"/>
      <x:c r="K77" s="60" t="str">
        <x:v>Fixed 2025 PhenGO labels</x:v>
      </x:c>
      <x:c r="L77" s="60" t="str">
        <x:v>GO release 2019-01-01</x:v>
      </x:c>
      <x:c r="M77" s="60" t="str">
        <x:v>GO basic 2019-01-01</x:v>
      </x:c>
      <x:c r="N77" s="60" t="str"/>
      <x:c r="O77" s="60" t="str">
        <x:v>gene_sets</x:v>
      </x:c>
      <x:c r="P77" s="60" t="str">
        <x:v>explicit_only</x:v>
      </x:c>
      <x:c r="Q77" s="60" t="str">
        <x:v>exclude</x:v>
      </x:c>
      <x:c r="R77" s="60" t="str">
        <x:v>exclude</x:v>
      </x:c>
      <x:c r="S77" s="60" t="str">
        <x:v>2026-07-22</x:v>
      </x:c>
      <x:c r="T77" s="60" t="str">
        <x:v>Annotation-only year fills a missing SGD phenotype interval.</x:v>
      </x:c>
      <x:c r="U77" s="60" t="str">
        <x:v>Available</x:v>
      </x:c>
      <x:c r="V77" s="60" t="str"/>
    </x:row>
    <x:row r="78">
      <x:c r="A78" s="60" t="str">
        <x:v>optional</x:v>
      </x:c>
      <x:c r="B78" s="60" t="str">
        <x:v>annotation_anchor</x:v>
      </x:c>
      <x:c r="C78" s="60" t="str">
        <x:v>yeast</x:v>
      </x:c>
      <x:c r="D78" s="60" t="n">
        <x:v>2020</x:v>
      </x:c>
      <x:c r="E78" s="60" t="str">
        <x:v>yeast-2020-fixed2025</x:v>
      </x:c>
      <x:c r="F78" s="60" t="str"/>
      <x:c r="G78" s="60" t="str"/>
      <x:c r="H78" s="60" t="str">
        <x:v>data/yeast/gene_association/go_archive/2020/sgd.gaf.gz</x:v>
      </x:c>
      <x:c r="I78" s="60" t="str">
        <x:v>data/go/2020/go-basic_2020-01-01.obo.gz</x:v>
      </x:c>
      <x:c r="J78" s="60" t="str"/>
      <x:c r="K78" s="60" t="str">
        <x:v>Fixed 2025 PhenGO labels</x:v>
      </x:c>
      <x:c r="L78" s="60" t="str">
        <x:v>GO release 2020-01-01</x:v>
      </x:c>
      <x:c r="M78" s="60" t="str">
        <x:v>GO basic 2020-01-01</x:v>
      </x:c>
      <x:c r="N78" s="60" t="str"/>
      <x:c r="O78" s="60" t="str">
        <x:v>gene_sets</x:v>
      </x:c>
      <x:c r="P78" s="60" t="str">
        <x:v>explicit_only</x:v>
      </x:c>
      <x:c r="Q78" s="60" t="str">
        <x:v>exclude</x:v>
      </x:c>
      <x:c r="R78" s="60" t="str">
        <x:v>exclude</x:v>
      </x:c>
      <x:c r="S78" s="60" t="str">
        <x:v>2026-07-22</x:v>
      </x:c>
      <x:c r="T78" s="60" t="str">
        <x:v>Annotation-only year fills a missing SGD phenotype interval.</x:v>
      </x:c>
      <x:c r="U78" s="60" t="str">
        <x:v>Available</x:v>
      </x:c>
      <x:c r="V78" s="60" t="str"/>
    </x:row>
    <x:row r="79">
      <x:c r="A79" s="60" t="str">
        <x:v>optional</x:v>
      </x:c>
      <x:c r="B79" s="60" t="str">
        <x:v>annotation_anchor</x:v>
      </x:c>
      <x:c r="C79" s="60" t="str">
        <x:v>yeast</x:v>
      </x:c>
      <x:c r="D79" s="60" t="n">
        <x:v>2021</x:v>
      </x:c>
      <x:c r="E79" s="60" t="str">
        <x:v>yeast-2021-fixed2025</x:v>
      </x:c>
      <x:c r="F79" s="60" t="str"/>
      <x:c r="G79" s="60" t="str"/>
      <x:c r="H79" s="60" t="str">
        <x:v>data/yeast/gene_association/go_archive/2021/sgd.gaf.gz</x:v>
      </x:c>
      <x:c r="I79" s="60" t="str">
        <x:v>data/go/2021/go-basic_2021-01-01.obo.gz</x:v>
      </x:c>
      <x:c r="J79" s="60" t="str"/>
      <x:c r="K79" s="60" t="str">
        <x:v>Fixed 2025 PhenGO labels</x:v>
      </x:c>
      <x:c r="L79" s="60" t="str">
        <x:v>GO release 2021-01-01</x:v>
      </x:c>
      <x:c r="M79" s="60" t="str">
        <x:v>GO basic 2021-01-01</x:v>
      </x:c>
      <x:c r="N79" s="60" t="str"/>
      <x:c r="O79" s="60" t="str">
        <x:v>gene_sets</x:v>
      </x:c>
      <x:c r="P79" s="60" t="str">
        <x:v>explicit_only</x:v>
      </x:c>
      <x:c r="Q79" s="60" t="str">
        <x:v>exclude</x:v>
      </x:c>
      <x:c r="R79" s="60" t="str">
        <x:v>exclude</x:v>
      </x:c>
      <x:c r="S79" s="60" t="str">
        <x:v>2026-07-22</x:v>
      </x:c>
      <x:c r="T79" s="60" t="str">
        <x:v>Annotation-only year fills a missing SGD phenotype interval.</x:v>
      </x:c>
      <x:c r="U79" s="60" t="str">
        <x:v>Available</x:v>
      </x:c>
      <x:c r="V79" s="60" t="str"/>
    </x:row>
    <x:row r="80">
      <x:c r="A80" s="60" t="str">
        <x:v>optional</x:v>
      </x:c>
      <x:c r="B80" s="60" t="str">
        <x:v>annotation_anchor</x:v>
      </x:c>
      <x:c r="C80" s="60" t="str">
        <x:v>yeast</x:v>
      </x:c>
      <x:c r="D80" s="60" t="n">
        <x:v>2022</x:v>
      </x:c>
      <x:c r="E80" s="60" t="str">
        <x:v>yeast-2022-fixed2025</x:v>
      </x:c>
      <x:c r="F80" s="60" t="str"/>
      <x:c r="G80" s="60" t="str"/>
      <x:c r="H80" s="60" t="str">
        <x:v>data/yeast/gene_association/go_archive/2022/sgd.gaf.gz</x:v>
      </x:c>
      <x:c r="I80" s="60" t="str">
        <x:v>data/go/2022/go-basic_2022-01-13.obo.gz</x:v>
      </x:c>
      <x:c r="J80" s="60" t="str"/>
      <x:c r="K80" s="60" t="str">
        <x:v>Fixed 2025 PhenGO labels</x:v>
      </x:c>
      <x:c r="L80" s="60" t="str">
        <x:v>GO release 2022-01-01</x:v>
      </x:c>
      <x:c r="M80" s="60" t="str">
        <x:v>GO basic 2022-01-13</x:v>
      </x:c>
      <x:c r="N80" s="60" t="str"/>
      <x:c r="O80" s="60" t="str">
        <x:v>gene_sets</x:v>
      </x:c>
      <x:c r="P80" s="60" t="str">
        <x:v>explicit_only</x:v>
      </x:c>
      <x:c r="Q80" s="60" t="str">
        <x:v>exclude</x:v>
      </x:c>
      <x:c r="R80" s="60" t="str">
        <x:v>exclude</x:v>
      </x:c>
      <x:c r="S80" s="60" t="str">
        <x:v>2026-07-22</x:v>
      </x:c>
      <x:c r="T80" s="60" t="str">
        <x:v>Annotation-only year fills a missing SGD phenotype interval.</x:v>
      </x:c>
      <x:c r="U80" s="60" t="str">
        <x:v>Available</x:v>
      </x:c>
      <x:c r="V80" s="60" t="str"/>
    </x:row>
    <x:row r="81">
      <x:c r="A81" s="60" t="str">
        <x:v>optional</x:v>
      </x:c>
      <x:c r="B81" s="60" t="str">
        <x:v>annotation_anchor</x:v>
      </x:c>
      <x:c r="C81" s="60" t="str">
        <x:v>yeast</x:v>
      </x:c>
      <x:c r="D81" s="60" t="n">
        <x:v>2023</x:v>
      </x:c>
      <x:c r="E81" s="60" t="str">
        <x:v>yeast-2023-fixed2025</x:v>
      </x:c>
      <x:c r="F81" s="60" t="str"/>
      <x:c r="G81" s="60" t="str"/>
      <x:c r="H81" s="60" t="str">
        <x:v>data/yeast/gene_association/go_archive/2023/sgd.gaf.gz</x:v>
      </x:c>
      <x:c r="I81" s="60" t="str">
        <x:v>data/go/2023/go-basic_2023-01-01.obo.gz</x:v>
      </x:c>
      <x:c r="J81" s="60" t="str"/>
      <x:c r="K81" s="60" t="str">
        <x:v>Fixed 2025 PhenGO labels</x:v>
      </x:c>
      <x:c r="L81" s="60" t="str">
        <x:v>GO release 2023-01-01</x:v>
      </x:c>
      <x:c r="M81" s="60" t="str">
        <x:v>GO basic 2023-01-01</x:v>
      </x:c>
      <x:c r="N81" s="60" t="str"/>
      <x:c r="O81" s="60" t="str">
        <x:v>gene_sets</x:v>
      </x:c>
      <x:c r="P81" s="60" t="str">
        <x:v>explicit_only</x:v>
      </x:c>
      <x:c r="Q81" s="60" t="str">
        <x:v>exclude</x:v>
      </x:c>
      <x:c r="R81" s="60" t="str">
        <x:v>exclude</x:v>
      </x:c>
      <x:c r="S81" s="60" t="str">
        <x:v>2026-07-22</x:v>
      </x:c>
      <x:c r="T81" s="60" t="str">
        <x:v>Annotation-only year fills a missing SGD phenotype interval.</x:v>
      </x:c>
      <x:c r="U81" s="60" t="str">
        <x:v>Available</x:v>
      </x:c>
      <x:c r="V81" s="60" t="str"/>
    </x:row>
  </x:sheetData>
  <x:conditionalFormatting sqref="U2:U81">
    <x:cfRule type="containsText" dxfId="0" priority="1" operator="containsText" text="Missing"/>
  </x:conditionalFormatting>
  <x:conditionalFormatting sqref="A2:A81">
    <x:cfRule type="containsText" dxfId="1" priority="2" operator="containsText" text="optional"/>
  </x:conditionalFormatting>
  <x:pageMargins left="0.7" right="0.7" top="0.75" bottom="0.75" header="0.3" footer="0.3"/>
  <x:tableParts count="1">
    <x:tablePart xmlns:r="http://schemas.openxmlformats.org/officeDocument/2006/relationships" r:id="R3276b6bd9f284b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t="str">
        <x:v>Organism</x:v>
      </x:c>
      <x:c r="B1" t="str">
        <x:v>Required primary</x:v>
      </x:c>
      <x:c r="C1" t="str">
        <x:v>Annotation anchors</x:v>
      </x:c>
      <x:c r="D1" t="str">
        <x:v>Anchors available</x:v>
      </x:c>
      <x:c r="E1" t="str">
        <x:v>Anchors missing</x:v>
      </x:c>
      <x:c r="F1" t="str">
        <x:v>Primary years</x:v>
      </x:c>
    </x:row>
    <x:row r="2">
      <x:c r="A2" t="str">
        <x:v>fish</x:v>
      </x:c>
      <x:c r="B2" s="61" t="n">
        <x:f>COUNTIFS('Publication Snapshots'!$A$2:$A$81,"required",'Publication Snapshots'!$C$2:$C$81,A2)</x:f>
        <x:v>11</x:v>
      </x:c>
      <x:c r="C2" s="61" t="n">
        <x:f>COUNTIFS('Publication Snapshots'!$A$2:$A$81,"optional",'Publication Snapshots'!$C$2:$C$81,A2)</x:f>
        <x:v>5</x:v>
      </x:c>
      <x:c r="D2" s="61" t="n">
        <x:f>COUNTIFS('Publication Snapshots'!$A$2:$A$81,"optional",'Publication Snapshots'!$C$2:$C$81,A2,'Publication Snapshots'!$U$2:$U$81,"Available")</x:f>
        <x:v>5</x:v>
      </x:c>
      <x:c r="E2" s="61" t="n">
        <x:f>C2-D2</x:f>
        <x:v>0</x:v>
      </x:c>
      <x:c r="F2" t="str">
        <x:v>2015-2025</x:v>
      </x:c>
    </x:row>
    <x:row r="3">
      <x:c r="A3" t="str">
        <x:v>fly</x:v>
      </x:c>
      <x:c r="B3" s="61" t="n">
        <x:f>COUNTIFS('Publication Snapshots'!$A$2:$A$81,"required",'Publication Snapshots'!$C$2:$C$81,A3)</x:f>
        <x:v>11</x:v>
      </x:c>
      <x:c r="C3" s="61" t="n">
        <x:f>COUNTIFS('Publication Snapshots'!$A$2:$A$81,"optional",'Publication Snapshots'!$C$2:$C$81,A3)</x:f>
        <x:v>5</x:v>
      </x:c>
      <x:c r="D3" s="61" t="n">
        <x:f>COUNTIFS('Publication Snapshots'!$A$2:$A$81,"optional",'Publication Snapshots'!$C$2:$C$81,A3,'Publication Snapshots'!$U$2:$U$81,"Available")</x:f>
        <x:v>5</x:v>
      </x:c>
      <x:c r="E3" s="61" t="n">
        <x:f>C3-D3</x:f>
        <x:v>0</x:v>
      </x:c>
      <x:c r="F3" t="str">
        <x:v>2015-2025</x:v>
      </x:c>
    </x:row>
    <x:row r="4">
      <x:c r="A4" t="str">
        <x:v>mouse</x:v>
      </x:c>
      <x:c r="B4" s="61" t="n">
        <x:f>COUNTIFS('Publication Snapshots'!$A$2:$A$81,"required",'Publication Snapshots'!$C$2:$C$81,A4)</x:f>
        <x:v>11</x:v>
      </x:c>
      <x:c r="C4" s="61" t="n">
        <x:f>COUNTIFS('Publication Snapshots'!$A$2:$A$81,"optional",'Publication Snapshots'!$C$2:$C$81,A4)</x:f>
        <x:v>5</x:v>
      </x:c>
      <x:c r="D4" s="61" t="n">
        <x:f>COUNTIFS('Publication Snapshots'!$A$2:$A$81,"optional",'Publication Snapshots'!$C$2:$C$81,A4,'Publication Snapshots'!$U$2:$U$81,"Available")</x:f>
        <x:v>5</x:v>
      </x:c>
      <x:c r="E4" s="61" t="n">
        <x:f>C4-D4</x:f>
        <x:v>0</x:v>
      </x:c>
      <x:c r="F4" t="str">
        <x:v>2015-2025</x:v>
      </x:c>
    </x:row>
    <x:row r="5">
      <x:c r="A5" t="str">
        <x:v>worm</x:v>
      </x:c>
      <x:c r="B5" s="61" t="n">
        <x:f>COUNTIFS('Publication Snapshots'!$A$2:$A$81,"required",'Publication Snapshots'!$C$2:$C$81,A5)</x:f>
        <x:v>11</x:v>
      </x:c>
      <x:c r="C5" s="61" t="n">
        <x:f>COUNTIFS('Publication Snapshots'!$A$2:$A$81,"optional",'Publication Snapshots'!$C$2:$C$81,A5)</x:f>
        <x:v>5</x:v>
      </x:c>
      <x:c r="D5" s="61" t="n">
        <x:f>COUNTIFS('Publication Snapshots'!$A$2:$A$81,"optional",'Publication Snapshots'!$C$2:$C$81,A5,'Publication Snapshots'!$U$2:$U$81,"Available")</x:f>
        <x:v>5</x:v>
      </x:c>
      <x:c r="E5" s="61" t="n">
        <x:f>C5-D5</x:f>
        <x:v>0</x:v>
      </x:c>
      <x:c r="F5" t="str">
        <x:v>2015-2025</x:v>
      </x:c>
    </x:row>
    <x:row r="6">
      <x:c r="A6" t="str">
        <x:v>yeast</x:v>
      </x:c>
      <x:c r="B6" s="61" t="n">
        <x:f>COUNTIFS('Publication Snapshots'!$A$2:$A$81,"required",'Publication Snapshots'!$C$2:$C$81,A6)</x:f>
        <x:v>5</x:v>
      </x:c>
      <x:c r="C6" s="61" t="n">
        <x:f>COUNTIFS('Publication Snapshots'!$A$2:$A$81,"optional",'Publication Snapshots'!$C$2:$C$81,A6)</x:f>
        <x:v>11</x:v>
      </x:c>
      <x:c r="D6" s="61" t="n">
        <x:f>COUNTIFS('Publication Snapshots'!$A$2:$A$81,"optional",'Publication Snapshots'!$C$2:$C$81,A6,'Publication Snapshots'!$U$2:$U$81,"Available")</x:f>
        <x:v>11</x:v>
      </x:c>
      <x:c r="E6" s="61" t="n">
        <x:f>C6-D6</x:f>
        <x:v>0</x:v>
      </x:c>
      <x:c r="F6" t="str">
        <x:v>2015-2017; 2024-2025</x:v>
      </x:c>
    </x:row>
  </x:sheetData>
  <x:conditionalFormatting sqref="E2:E6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2c34289a2c46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0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65" hidden="0" customWidth="1"/>
    <x:col min="8" max="8" width="48" hidden="0" customWidth="1"/>
  </x:cols>
  <x:sheetData>
    <x:row r="1">
      <x:c r="A1" s="62" t="str">
        <x:v>path</x:v>
      </x:c>
      <x:c r="B1" s="62" t="str">
        <x:v>input_type</x:v>
      </x:c>
      <x:c r="C1" s="62" t="str">
        <x:v>organisms</x:v>
      </x:c>
      <x:c r="D1" s="62" t="str">
        <x:v>years</x:v>
      </x:c>
      <x:c r="E1" s="63" t="str">
        <x:v>snapshots_affected</x:v>
      </x:c>
      <x:c r="F1" s="62" t="str">
        <x:v>requirement</x:v>
      </x:c>
      <x:c r="G1" s="62" t="str">
        <x:v>source_url</x:v>
      </x:c>
      <x:c r="H1" s="62" t="str">
        <x:v>notes</x:v>
      </x:c>
    </x:row>
    <x:row r="2">
      <x:c r="E2" s="61"/>
    </x:row>
  </x:sheetData>
  <x:pageMargins left="0.7" right="0.7" top="0.75" bottom="0.75" header="0.3" footer="0.3"/>
  <x:tableParts count="1">
    <x:tablePart xmlns:r="http://schemas.openxmlformats.org/officeDocument/2006/relationships" r:id="R9f02e9fd6eb740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90" hidden="0" customWidth="1"/>
  </x:cols>
  <x:sheetData>
    <x:row r="1" ht="30" customHeight="1">
      <x:c r="A1" s="62" t="str">
        <x:v>Section</x:v>
      </x:c>
      <x:c r="B1" s="62" t="str">
        <x:v>Item</x:v>
      </x:c>
      <x:c r="C1" s="62" t="str">
        <x:v>Publication rule</x:v>
      </x:c>
    </x:row>
    <x:row r="2" ht="30" customHeight="1">
      <x:c r="A2" s="62" t="str">
        <x:v>Authority</x:v>
      </x:c>
      <x:c r="B2" s="62" t="str">
        <x:v>Runtime ledger</x:v>
      </x:c>
      <x:c r="C2" s="62" t="str">
        <x:v>data/publication_snapshots.tsv selects files and policies</x:v>
      </x:c>
    </x:row>
    <x:row r="3" ht="30" customHeight="1">
      <x:c r="A3" s="62" t="str">
        <x:v>Authority</x:v>
      </x:c>
      <x:c r="B3" s="62" t="str">
        <x:v>Historical workbook</x:v>
      </x:c>
      <x:c r="C3" s="62" t="str">
        <x:v>data/File_Overview.ods is reference-only and is not parsed at runtime</x:v>
      </x:c>
    </x:row>
    <x:row r="4" ht="30" customHeight="1">
      <x:c r="A4" s="62" t="str">
        <x:v>Labels</x:v>
      </x:c>
      <x:c r="B4" s="62" t="str">
        <x:v>Primary</x:v>
      </x:c>
      <x:c r="C4" s="62" t="str">
        <x:v>Release-derived phenotype labels; organism-specific policy is explicit</x:v>
      </x:c>
    </x:row>
    <x:row r="5" ht="30" customHeight="1">
      <x:c r="A5" s="62" t="str">
        <x:v>Labels</x:v>
      </x:c>
      <x:c r="B5" s="62" t="str">
        <x:v>Fixed</x:v>
      </x:c>
      <x:c r="C5" s="62" t="str">
        <x:v>2025 paired labels reused with each archived GAF and GO ontology</x:v>
      </x:c>
    </x:row>
    <x:row r="6" ht="30" customHeight="1">
      <x:c r="A6" s="62" t="str">
        <x:v>Labels</x:v>
      </x:c>
      <x:c r="B6" s="62" t="str">
        <x:v>Fish and worm</x:v>
      </x:c>
      <x:c r="C6" s="62" t="str">
        <x:v>Observed nonlethal evidence is operational, not an explicit viability assay</x:v>
      </x:c>
    </x:row>
    <x:row r="7" ht="30" customHeight="1">
      <x:c r="A7" s="62" t="str">
        <x:v>GO</x:v>
      </x:c>
      <x:c r="B7" s="62" t="str">
        <x:v>Primary relations</x:v>
      </x:c>
      <x:c r="C7" s="62" t="str">
        <x:v>is_a + part_of</x:v>
      </x:c>
    </x:row>
    <x:row r="8" ht="30" customHeight="1">
      <x:c r="A8" s="62" t="str">
        <x:v>GO</x:v>
      </x:c>
      <x:c r="B8" s="62" t="str">
        <x:v>Sensitivity relations</x:v>
      </x:c>
      <x:c r="C8" s="62" t="str">
        <x:v>is_a only</x:v>
      </x:c>
    </x:row>
    <x:row r="9" ht="30" customHeight="1">
      <x:c r="A9" s="62" t="str">
        <x:v>GO</x:v>
      </x:c>
      <x:c r="B9" s="62" t="str">
        <x:v>Evidence sensitivity</x:v>
      </x:c>
      <x:c r="C9" s="62" t="str">
        <x:v>Exclude IEA in the no_iea track</x:v>
      </x:c>
    </x:row>
    <x:row r="10" ht="30" customHeight="1">
      <x:c r="A10" s="62" t="str">
        <x:v>GO</x:v>
      </x:c>
      <x:c r="B10" s="62" t="str">
        <x:v>2010-2012 archive</x:v>
      </x:c>
      <x:c r="C10" s="62" t="str">
        <x:v>Full go.obo with is_a only in the continuous historical track</x:v>
      </x:c>
    </x:row>
    <x:row r="11" ht="30" customHeight="1">
      <x:c r="A11" s="62" t="str">
        <x:v>GO</x:v>
      </x:c>
      <x:c r="B11" s="62" t="str">
        <x:v>2013 archive</x:v>
      </x:c>
      <x:c r="C11" s="62" t="str">
        <x:v>First go-simple release; is_a only because selected part_of edges cross namespaces</x:v>
      </x:c>
    </x:row>
    <x:row r="12" ht="30" customHeight="1">
      <x:c r="A12" s="62" t="str">
        <x:v>GO</x:v>
      </x:c>
      <x:c r="B12" s="62" t="str">
        <x:v>2014 onward</x:v>
      </x:c>
      <x:c r="C12" s="62" t="str">
        <x:v>go-basic supports the pre-declared is_a + part_of propagation policy</x:v>
      </x:c>
    </x:row>
    <x:row r="13" ht="30" customHeight="1">
      <x:c r="A13" s="62" t="str">
        <x:v>ML</x:v>
      </x:c>
      <x:c r="B13" s="62" t="str">
        <x:v>Models</x:v>
      </x:c>
      <x:c r="C13" s="62" t="str">
        <x:v>Decision tree, random forest, gradient boosting, logistic regression, SVM, sklearn MLP</x:v>
      </x:c>
    </x:row>
    <x:row r="14" ht="30" customHeight="1">
      <x:c r="A14" s="62" t="str">
        <x:v>ML</x:v>
      </x:c>
      <x:c r="B14" s="62" t="str">
        <x:v>Comparable NN</x:v>
      </x:c>
      <x:c r="C14" s="62" t="str">
        <x:v>Same repeated folds, transfer directions, panels, calibration, threshold, seeds, and metrics</x:v>
      </x:c>
    </x:row>
    <x:row r="15" ht="30" customHeight="1">
      <x:c r="A15" s="62" t="str">
        <x:v>ML</x:v>
      </x:c>
      <x:c r="B15" s="62" t="str">
        <x:v>Transfer vocabulary</x:v>
      </x:c>
      <x:c r="C15" s="62" t="str">
        <x:v>Use training-release GO features only; ignore test-only terms</x:v>
      </x:c>
    </x:row>
    <x:row r="16" ht="30" customHeight="1">
      <x:c r="A16" s="62" t="str">
        <x:v>ML</x:v>
      </x:c>
      <x:c r="B16" s="62" t="str">
        <x:v>Gene leakage</x:v>
      </x:c>
      <x:c r="C16" s="62" t="str">
        <x:v>One fixed gene-ID fold map; scored genes removed from training when present</x:v>
      </x:c>
    </x:row>
    <x:row r="17" ht="30" customHeight="1">
      <x:c r="A17" s="62" t="str">
        <x:v>ML</x:v>
      </x:c>
      <x:c r="B17" s="62" t="str">
        <x:v>TensorFlow NN</x:v>
      </x:c>
      <x:c r="C17" s="62" t="str">
        <x:v>Single-snapshot supplementary implementation check only</x:v>
      </x:c>
    </x:row>
    <x:row r="18" ht="30" customHeight="1">
      <x:c r="A18" s="62" t="str">
        <x:v>Statistics</x:v>
      </x:c>
      <x:c r="B18" s="62" t="str">
        <x:v>Primary metrics</x:v>
      </x:c>
      <x:c r="C18" s="62" t="str">
        <x:v>Average precision, MCC, balanced accuracy, lethal F1</x:v>
      </x:c>
    </x:row>
    <x:row r="19" ht="30" customHeight="1">
      <x:c r="A19" s="62" t="str">
        <x:v>Statistics</x:v>
      </x:c>
      <x:c r="B19" s="62" t="str">
        <x:v>Intervals</x:v>
      </x:c>
      <x:c r="C19" s="62" t="str">
        <x:v>Resampling intervals over complete repeated OOF predictions; not biological-replicate CIs</x:v>
      </x:c>
    </x:row>
    <x:row r="20" ht="30" customHeight="1">
      <x:c r="A20" s="62" t="str">
        <x:v>Provenance</x:v>
      </x:c>
      <x:c r="B20" s="62" t="str">
        <x:v>Strict outputs</x:v>
      </x:c>
      <x:c r="C20" s="62" t="str">
        <x:v>Input/output hashes, release IDs, code hash, dependencies, architecture, policies</x:v>
      </x:c>
    </x:row>
    <x:row r="21" ht="30" customHeight="1">
      <x:c r="A21" s="62" t="str">
        <x:v>Missing data</x:v>
      </x:c>
      <x:c r="B21" s="62" t="str">
        <x:v>Annotation anchors</x:v>
      </x:c>
      <x:c r="C21" s="62" t="str">
        <x:v>Fail by default; exploratory partial runs record and skip, never substitute</x:v>
      </x:c>
    </x:row>
    <x:row r="22" ht="30" customHeight="1">
      <x:c r="A22" s="62" t="str">
        <x:v>Completion</x:v>
      </x:c>
      <x:c r="B22" s="62" t="str">
        <x:v>Marker</x:v>
      </x:c>
      <x:c r="C22" s="62" t="str">
        <x:v>00_run_metadata/run.complete plus checksums, QC, manifests, and publication tables</x:v>
      </x:c>
    </x:row>
  </x:sheetData>
  <x:pageMargins left="0.7" right="0.7" top="0.75" bottom="0.75" header="0.3" footer="0.3"/>
  <x:tableParts count="1">
    <x:tablePart xmlns:r="http://schemas.openxmlformats.org/officeDocument/2006/relationships" r:id="Ra15463c47f8e43f9"/>
  </x:tableParts>
</x:worksheet>
</file>